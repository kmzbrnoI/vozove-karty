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<sst xmlns="http://schemas.openxmlformats.org/spreadsheetml/2006/main" count="104" uniqueCount="88">
  <si>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</si>
  <si>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</si>
  <si>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</si>
  <si>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</si>
  <si>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</si>
  <si>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</si>
  <si>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</si>
  <si>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</si>
  <si>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</si>
  <si>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</si>
  <si>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</si>
  <si>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</si>
  <si>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</si>
  <si>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</si>
  <si>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</si>
  <si>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</si>
  <si>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</si>
  <si>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</si>
  <si>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</si>
  <si>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</si>
  <si>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</si>
  <si>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</si>
  <si>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</si>
  <si>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</si>
  <si>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</si>
  <si>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</si>
  <si>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</si>
  <si>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</si>
  <si>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</si>
  <si>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</si>
  <si>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</si>
  <si>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</si>
  <si>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</si>
  <si>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</si>
  <si>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</si>
  <si>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</si>
  <si>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</si>
  <si>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</si>
  <si>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</si>
  <si>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</si>
  <si>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</si>
  <si>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</si>
  <si>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</si>
  <si>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</si>
  <si>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</si>
  <si>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</si>
  <si>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</si>
  <si>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</si>
  <si>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</si>
  <si>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</si>
  <si>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</si>
  <si>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</si>
  <si>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</si>
  <si>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</si>
  <si>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</si>
  <si>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</si>
  <si>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</si>
  <si>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</si>
  <si>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</si>
  <si>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</si>
  <si>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</si>
  <si>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</si>
  <si>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</si>
  <si>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</si>
  <si>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</si>
  <si>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</si>
  <si>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</si>
  <si>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</si>
  <si>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</si>
  <si>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</si>
  <si>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</si>
  <si>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</si>
  <si>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</si>
  <si>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</si>
  <si>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</si>
  <si>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</si>
  <si>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</si>
  <si>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</si>
  <si>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Horáčkovi
Brno, CZ</t>
  </si>
  <si>
    <t>V</t>
  </si>
  <si>
    <t>ZIMO MX658N18</t>
  </si>
  <si>
    <t>Dieselová lokomotiva ČSD v červeno-šedém nátěru</t>
  </si>
  <si>
    <t>HKOC 4661</t>
  </si>
  <si>
    <t>T466.2024</t>
  </si>
  <si>
    <t>742.024-3</t>
  </si>
  <si>
    <t>Bratislava</t>
  </si>
  <si>
    <t>1977–1983</t>
  </si>
  <si>
    <t>VK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</si>
</sst>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33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3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201" fontId="13" fillId="0" borderId="14" xfId="0" applyNumberFormat="1" applyFont="1" applyFill="1" applyBorder="1" applyAlignment="1">
      <alignment horizontal="left" vertical="center" shrinkToFit="1"/>
    </xf>
    <xf numFmtId="201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89" fontId="13" fillId="0" borderId="14" xfId="0" applyNumberFormat="1" applyFont="1" applyFill="1" applyBorder="1" applyAlignment="1">
      <alignment horizontal="left" vertical="center" shrinkToFit="1"/>
    </xf>
    <xf numFmtId="189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86" fontId="13" fillId="0" borderId="14" xfId="0" applyNumberFormat="1" applyFont="1" applyFill="1" applyBorder="1" applyAlignment="1">
      <alignment horizontal="left" vertical="center" shrinkToFit="1"/>
    </xf>
    <xf numFmtId="186" fontId="13" fillId="0" borderId="50" xfId="0" applyNumberFormat="1" applyFont="1" applyFill="1" applyBorder="1" applyAlignment="1">
      <alignment horizontal="left" vertical="center" shrinkToFit="1"/>
    </xf>
    <xf numFmtId="185" fontId="13" fillId="0" borderId="14" xfId="0" applyNumberFormat="1" applyFont="1" applyFill="1" applyBorder="1" applyAlignment="1">
      <alignment horizontal="left" vertical="center" shrinkToFit="1"/>
    </xf>
    <xf numFmtId="185" fontId="13" fillId="0" borderId="51" xfId="0" applyNumberFormat="1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0" fontId="25" fillId="0" borderId="7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20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85" fontId="13" fillId="0" borderId="50" xfId="0" applyNumberFormat="1" applyFont="1" applyFill="1" applyBorder="1" applyAlignment="1">
      <alignment horizontal="left" vertical="center" shrinkToFit="1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wrapText="1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38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16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6500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540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541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6501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6502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6503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6504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6505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506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507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508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509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510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511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512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513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514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515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516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517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518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519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6520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6521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21</xdr:row>
      <xdr:rowOff>28575</xdr:rowOff>
    </xdr:from>
    <xdr:to>
      <xdr:col>13</xdr:col>
      <xdr:colOff>476250</xdr:colOff>
      <xdr:row>26</xdr:row>
      <xdr:rowOff>161925</xdr:rowOff>
    </xdr:to>
    <xdr:pic>
      <xdr:nvPicPr>
        <xdr:cNvPr id="36522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4076700"/>
          <a:ext cx="4514850" cy="1743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95250</xdr:colOff>
      <xdr:row>6</xdr:row>
      <xdr:rowOff>66675</xdr:rowOff>
    </xdr:from>
    <xdr:to>
      <xdr:col>20</xdr:col>
      <xdr:colOff>266700</xdr:colOff>
      <xdr:row>6</xdr:row>
      <xdr:rowOff>390525</xdr:rowOff>
    </xdr:to>
    <xdr:pic>
      <xdr:nvPicPr>
        <xdr:cNvPr id="36523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5475" y="1209675"/>
          <a:ext cx="8382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6524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16</xdr:row>
      <xdr:rowOff>57150</xdr:rowOff>
    </xdr:from>
    <xdr:to>
      <xdr:col>20</xdr:col>
      <xdr:colOff>314325</xdr:colOff>
      <xdr:row>17</xdr:row>
      <xdr:rowOff>123825</xdr:rowOff>
    </xdr:to>
    <xdr:pic>
      <xdr:nvPicPr>
        <xdr:cNvPr id="36525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3238500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6526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6527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9525</xdr:colOff>
      <xdr:row>14</xdr:row>
      <xdr:rowOff>47625</xdr:rowOff>
    </xdr:from>
    <xdr:to>
      <xdr:col>18</xdr:col>
      <xdr:colOff>323850</xdr:colOff>
      <xdr:row>15</xdr:row>
      <xdr:rowOff>142875</xdr:rowOff>
    </xdr:to>
    <xdr:pic>
      <xdr:nvPicPr>
        <xdr:cNvPr id="36528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886075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10</xdr:row>
      <xdr:rowOff>38100</xdr:rowOff>
    </xdr:from>
    <xdr:to>
      <xdr:col>6</xdr:col>
      <xdr:colOff>352425</xdr:colOff>
      <xdr:row>11</xdr:row>
      <xdr:rowOff>133350</xdr:rowOff>
    </xdr:to>
    <xdr:pic>
      <xdr:nvPicPr>
        <xdr:cNvPr id="3652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3625" y="21907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12</xdr:row>
      <xdr:rowOff>38100</xdr:rowOff>
    </xdr:from>
    <xdr:to>
      <xdr:col>4</xdr:col>
      <xdr:colOff>314325</xdr:colOff>
      <xdr:row>13</xdr:row>
      <xdr:rowOff>152400</xdr:rowOff>
    </xdr:to>
    <xdr:pic>
      <xdr:nvPicPr>
        <xdr:cNvPr id="36530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12</xdr:row>
      <xdr:rowOff>38100</xdr:rowOff>
    </xdr:from>
    <xdr:to>
      <xdr:col>20</xdr:col>
      <xdr:colOff>304800</xdr:colOff>
      <xdr:row>13</xdr:row>
      <xdr:rowOff>152400</xdr:rowOff>
    </xdr:to>
    <xdr:pic>
      <xdr:nvPicPr>
        <xdr:cNvPr id="36531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47625</xdr:colOff>
      <xdr:row>12</xdr:row>
      <xdr:rowOff>76200</xdr:rowOff>
    </xdr:from>
    <xdr:to>
      <xdr:col>6</xdr:col>
      <xdr:colOff>333375</xdr:colOff>
      <xdr:row>13</xdr:row>
      <xdr:rowOff>95250</xdr:rowOff>
    </xdr:to>
    <xdr:pic>
      <xdr:nvPicPr>
        <xdr:cNvPr id="36532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3150" y="25717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104775</xdr:colOff>
      <xdr:row>14</xdr:row>
      <xdr:rowOff>66675</xdr:rowOff>
    </xdr:from>
    <xdr:to>
      <xdr:col>2</xdr:col>
      <xdr:colOff>276225</xdr:colOff>
      <xdr:row>15</xdr:row>
      <xdr:rowOff>85725</xdr:rowOff>
    </xdr:to>
    <xdr:pic>
      <xdr:nvPicPr>
        <xdr:cNvPr id="36533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2905125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14</xdr:row>
      <xdr:rowOff>76200</xdr:rowOff>
    </xdr:from>
    <xdr:to>
      <xdr:col>8</xdr:col>
      <xdr:colOff>323850</xdr:colOff>
      <xdr:row>15</xdr:row>
      <xdr:rowOff>95250</xdr:rowOff>
    </xdr:to>
    <xdr:pic>
      <xdr:nvPicPr>
        <xdr:cNvPr id="36534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9146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14</xdr:row>
      <xdr:rowOff>85725</xdr:rowOff>
    </xdr:from>
    <xdr:to>
      <xdr:col>20</xdr:col>
      <xdr:colOff>314325</xdr:colOff>
      <xdr:row>15</xdr:row>
      <xdr:rowOff>104775</xdr:rowOff>
    </xdr:to>
    <xdr:pic>
      <xdr:nvPicPr>
        <xdr:cNvPr id="36535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92417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10</xdr:row>
      <xdr:rowOff>47625</xdr:rowOff>
    </xdr:from>
    <xdr:to>
      <xdr:col>20</xdr:col>
      <xdr:colOff>304800</xdr:colOff>
      <xdr:row>11</xdr:row>
      <xdr:rowOff>161925</xdr:rowOff>
    </xdr:to>
    <xdr:pic>
      <xdr:nvPicPr>
        <xdr:cNvPr id="36536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20027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</xdr:colOff>
      <xdr:row>12</xdr:row>
      <xdr:rowOff>38100</xdr:rowOff>
    </xdr:from>
    <xdr:to>
      <xdr:col>2</xdr:col>
      <xdr:colOff>323850</xdr:colOff>
      <xdr:row>13</xdr:row>
      <xdr:rowOff>152400</xdr:rowOff>
    </xdr:to>
    <xdr:pic>
      <xdr:nvPicPr>
        <xdr:cNvPr id="36537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28575</xdr:colOff>
      <xdr:row>8</xdr:row>
      <xdr:rowOff>38100</xdr:rowOff>
    </xdr:from>
    <xdr:to>
      <xdr:col>7</xdr:col>
      <xdr:colOff>295275</xdr:colOff>
      <xdr:row>9</xdr:row>
      <xdr:rowOff>142875</xdr:rowOff>
    </xdr:to>
    <xdr:pic>
      <xdr:nvPicPr>
        <xdr:cNvPr id="36538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539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>
      <selection activeCell="V25" sqref="V25"/>
    </sheetView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36" t="s">
        <v>52</v>
      </c>
      <c r="C1" s="137"/>
      <c r="D1" s="137"/>
      <c r="E1" s="137"/>
      <c r="F1" s="137"/>
      <c r="G1" s="138"/>
      <c r="H1" s="153" t="s">
        <v>76</v>
      </c>
      <c r="I1" s="154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157" t="s">
        <v>83</v>
      </c>
      <c r="D2" s="158"/>
      <c r="E2" s="158"/>
      <c r="F2" s="158"/>
      <c r="G2" s="159"/>
      <c r="H2" s="155"/>
      <c r="I2" s="156"/>
      <c r="J2" s="10"/>
      <c r="K2" s="70"/>
      <c r="L2" s="71"/>
      <c r="M2" s="71"/>
      <c r="N2" s="71"/>
      <c r="O2" s="72"/>
      <c r="P2" s="2"/>
      <c r="R2" s="184" t="str">
        <f>C2</f>
        <v>T466.2024</v>
      </c>
      <c r="S2" s="185"/>
      <c r="T2" s="185"/>
      <c r="U2" s="186"/>
    </row>
    <row r="3" spans="1:32" ht="10.15" customHeight="1">
      <c r="A3" s="28"/>
      <c r="B3" s="65" t="s">
        <v>14</v>
      </c>
      <c r="C3" s="66"/>
      <c r="D3" s="66"/>
      <c r="E3" s="67"/>
      <c r="F3" s="42" t="s">
        <v>13</v>
      </c>
      <c r="G3" s="141" t="s">
        <v>83</v>
      </c>
      <c r="H3" s="141"/>
      <c r="I3" s="142"/>
      <c r="J3" s="10"/>
      <c r="K3" s="11"/>
      <c r="L3" s="12"/>
      <c r="M3" s="12"/>
      <c r="N3" s="12"/>
      <c r="O3" s="13"/>
      <c r="P3" s="2"/>
      <c r="R3" s="184" t="str">
        <f>H1</f>
        <v>ČSD</v>
      </c>
      <c r="S3" s="185"/>
      <c r="T3" s="185"/>
      <c r="U3" s="186"/>
    </row>
    <row r="4" spans="1:32" ht="12.6" customHeight="1">
      <c r="A4" s="28"/>
      <c r="B4" s="91" t="s">
        <v>85</v>
      </c>
      <c r="C4" s="92"/>
      <c r="D4" s="92"/>
      <c r="E4" s="93"/>
      <c r="F4" s="43"/>
      <c r="G4" s="143"/>
      <c r="H4" s="143"/>
      <c r="I4" s="144"/>
      <c r="J4" s="10"/>
      <c r="K4" s="14"/>
      <c r="L4" s="15"/>
      <c r="M4" s="15"/>
      <c r="N4" s="15"/>
      <c r="O4" s="16"/>
      <c r="P4" s="2"/>
      <c r="R4" s="184"/>
      <c r="S4" s="185"/>
      <c r="T4" s="185"/>
      <c r="U4" s="186"/>
    </row>
    <row r="5" spans="1:32" ht="22.7" customHeight="1">
      <c r="A5" s="28"/>
      <c r="B5" s="94"/>
      <c r="C5" s="95"/>
      <c r="D5" s="95"/>
      <c r="E5" s="96"/>
      <c r="F5" s="30" t="s">
        <v>79</v>
      </c>
      <c r="G5" s="77" t="s">
        <v>84</v>
      </c>
      <c r="H5" s="77"/>
      <c r="I5" s="78"/>
      <c r="J5" s="10"/>
      <c r="K5" s="14"/>
      <c r="L5" s="15"/>
      <c r="M5" s="15"/>
      <c r="N5" s="15"/>
      <c r="O5" s="16"/>
      <c r="P5" s="2"/>
      <c r="R5" s="187" t="str">
        <f>M30</f>
        <v>HKOC 4661</v>
      </c>
      <c r="S5" s="188"/>
      <c r="T5" s="188"/>
      <c r="U5" s="189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207"/>
      <c r="S6" s="208"/>
      <c r="T6" s="208"/>
      <c r="U6" s="209"/>
    </row>
    <row r="7" spans="1:32" ht="45.6" customHeight="1">
      <c r="A7" s="28"/>
      <c r="B7" s="210" t="s">
        <v>81</v>
      </c>
      <c r="C7" s="211"/>
      <c r="D7" s="211"/>
      <c r="E7" s="211"/>
      <c r="F7" s="211"/>
      <c r="G7" s="211"/>
      <c r="H7" s="211"/>
      <c r="I7" s="212"/>
      <c r="J7" s="10"/>
      <c r="K7" s="14"/>
      <c r="L7" s="76" t="s">
        <v>69</v>
      </c>
      <c r="M7" s="76"/>
      <c r="N7" s="76"/>
      <c r="O7" s="16"/>
      <c r="P7" s="2"/>
      <c r="R7" s="201">
        <f>D17</f>
        <v>0</v>
      </c>
      <c r="S7" s="202"/>
      <c r="T7" s="202"/>
      <c r="U7" s="203"/>
    </row>
    <row r="8" spans="1:32" ht="8.1" customHeight="1">
      <c r="A8" s="28"/>
      <c r="B8" s="213"/>
      <c r="C8" s="214"/>
      <c r="D8" s="214"/>
      <c r="E8" s="214"/>
      <c r="F8" s="214"/>
      <c r="G8" s="214"/>
      <c r="H8" s="214"/>
      <c r="I8" s="215"/>
      <c r="J8" s="10"/>
      <c r="K8" s="14"/>
      <c r="L8" s="15"/>
      <c r="M8" s="15"/>
      <c r="N8" s="15"/>
      <c r="O8" s="16"/>
      <c r="P8" s="2"/>
      <c r="R8" s="204"/>
      <c r="S8" s="205"/>
      <c r="T8" s="205"/>
      <c r="U8" s="206"/>
    </row>
    <row r="9" spans="1:32" ht="13.7" customHeight="1">
      <c r="A9" s="28"/>
      <c r="B9" s="121" t="s">
        <v>71</v>
      </c>
      <c r="C9" s="122"/>
      <c r="D9" s="122"/>
      <c r="E9" s="123"/>
      <c r="F9" s="134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190"/>
      <c r="S9" s="192"/>
      <c r="T9" s="55" t="s">
        <v>10</v>
      </c>
      <c r="U9" s="57"/>
      <c r="W9" s="3"/>
      <c r="X9" s="165"/>
      <c r="Y9" s="182" t="s">
        <v>19</v>
      </c>
      <c r="Z9" s="180" t="s">
        <v>20</v>
      </c>
      <c r="AA9" s="165"/>
      <c r="AB9" s="167" t="s">
        <v>27</v>
      </c>
      <c r="AC9" s="168" t="s">
        <v>30</v>
      </c>
      <c r="AD9" s="177"/>
      <c r="AE9" s="167" t="s">
        <v>37</v>
      </c>
      <c r="AF9" s="168" t="s">
        <v>50</v>
      </c>
    </row>
    <row r="10" spans="1:32" ht="13.7" customHeight="1">
      <c r="A10" s="28"/>
      <c r="B10" s="124"/>
      <c r="C10" s="125"/>
      <c r="D10" s="125"/>
      <c r="E10" s="126"/>
      <c r="F10" s="135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191"/>
      <c r="S10" s="193"/>
      <c r="T10" s="194"/>
      <c r="U10" s="195"/>
      <c r="X10" s="166"/>
      <c r="Y10" s="183"/>
      <c r="Z10" s="181"/>
      <c r="AA10" s="166"/>
      <c r="AB10" s="167"/>
      <c r="AC10" s="168"/>
      <c r="AD10" s="177"/>
      <c r="AE10" s="167"/>
      <c r="AF10" s="168"/>
    </row>
    <row r="11" spans="1:32" s="26" customFormat="1" ht="13.7" customHeight="1">
      <c r="A11" s="29"/>
      <c r="B11" s="68" t="s">
        <v>8</v>
      </c>
      <c r="C11" s="119"/>
      <c r="D11" s="134" t="s">
        <v>7</v>
      </c>
      <c r="E11" s="119"/>
      <c r="F11" s="134" t="s">
        <v>4</v>
      </c>
      <c r="G11" s="119"/>
      <c r="H11" s="134" t="s">
        <v>2</v>
      </c>
      <c r="I11" s="119" t="s">
        <v>87</v>
      </c>
      <c r="J11" s="10"/>
      <c r="K11" s="14"/>
      <c r="L11" s="15"/>
      <c r="M11" s="15"/>
      <c r="N11" s="15"/>
      <c r="O11" s="16"/>
      <c r="P11" s="2"/>
      <c r="R11" s="48" t="s">
        <v>8</v>
      </c>
      <c r="S11" s="197"/>
      <c r="T11" s="55" t="s">
        <v>9</v>
      </c>
      <c r="U11" s="57"/>
      <c r="X11" s="169"/>
      <c r="Y11" s="182" t="s">
        <v>49</v>
      </c>
      <c r="Z11" s="180" t="s">
        <v>48</v>
      </c>
      <c r="AA11" s="169"/>
      <c r="AB11" s="167" t="s">
        <v>28</v>
      </c>
      <c r="AC11" s="168" t="s">
        <v>29</v>
      </c>
      <c r="AD11" s="178"/>
      <c r="AE11" s="167" t="s">
        <v>38</v>
      </c>
      <c r="AF11" s="168" t="s">
        <v>39</v>
      </c>
    </row>
    <row r="12" spans="1:32" s="26" customFormat="1" ht="13.7" customHeight="1">
      <c r="A12" s="29"/>
      <c r="B12" s="69"/>
      <c r="C12" s="120"/>
      <c r="D12" s="135"/>
      <c r="E12" s="120"/>
      <c r="F12" s="135"/>
      <c r="G12" s="120"/>
      <c r="H12" s="135"/>
      <c r="I12" s="120"/>
      <c r="J12" s="10"/>
      <c r="K12" s="14"/>
      <c r="L12" s="15"/>
      <c r="M12" s="15"/>
      <c r="N12" s="15"/>
      <c r="O12" s="16"/>
      <c r="P12" s="2"/>
      <c r="R12" s="196"/>
      <c r="S12" s="198"/>
      <c r="T12" s="194"/>
      <c r="U12" s="195"/>
      <c r="X12" s="170"/>
      <c r="Y12" s="183"/>
      <c r="Z12" s="181"/>
      <c r="AA12" s="170"/>
      <c r="AB12" s="167"/>
      <c r="AC12" s="168"/>
      <c r="AD12" s="178"/>
      <c r="AE12" s="167"/>
      <c r="AF12" s="168"/>
    </row>
    <row r="13" spans="1:32" s="26" customFormat="1" ht="13.7" customHeight="1">
      <c r="A13" s="29"/>
      <c r="B13" s="68" t="s">
        <v>9</v>
      </c>
      <c r="C13" s="130"/>
      <c r="D13" s="134" t="s">
        <v>6</v>
      </c>
      <c r="E13" s="130"/>
      <c r="F13" s="134" t="s">
        <v>5</v>
      </c>
      <c r="G13" s="130"/>
      <c r="H13" s="134" t="s">
        <v>3</v>
      </c>
      <c r="I13" s="130"/>
      <c r="J13" s="10"/>
      <c r="K13" s="14"/>
      <c r="L13" s="15"/>
      <c r="M13" s="15"/>
      <c r="N13" s="15"/>
      <c r="O13" s="16"/>
      <c r="P13" s="2"/>
      <c r="R13" s="48" t="s">
        <v>7</v>
      </c>
      <c r="S13" s="197"/>
      <c r="T13" s="55" t="s">
        <v>6</v>
      </c>
      <c r="U13" s="57"/>
      <c r="X13" s="169"/>
      <c r="Y13" s="182" t="s">
        <v>24</v>
      </c>
      <c r="Z13" s="180" t="s">
        <v>23</v>
      </c>
      <c r="AA13" s="169"/>
      <c r="AB13" s="167" t="s">
        <v>33</v>
      </c>
      <c r="AC13" s="168" t="s">
        <v>31</v>
      </c>
      <c r="AD13" s="178"/>
      <c r="AE13" s="171" t="s">
        <v>41</v>
      </c>
      <c r="AF13" s="168" t="s">
        <v>40</v>
      </c>
    </row>
    <row r="14" spans="1:32" s="26" customFormat="1" ht="13.7" customHeight="1">
      <c r="A14" s="29"/>
      <c r="B14" s="69"/>
      <c r="C14" s="131"/>
      <c r="D14" s="135"/>
      <c r="E14" s="131"/>
      <c r="F14" s="135"/>
      <c r="G14" s="131"/>
      <c r="H14" s="135"/>
      <c r="I14" s="131"/>
      <c r="J14" s="10"/>
      <c r="K14" s="14"/>
      <c r="L14" s="17"/>
      <c r="M14" s="17"/>
      <c r="N14" s="17"/>
      <c r="O14" s="16"/>
      <c r="P14" s="2"/>
      <c r="R14" s="196"/>
      <c r="S14" s="198"/>
      <c r="T14" s="194"/>
      <c r="U14" s="195"/>
      <c r="W14" s="27"/>
      <c r="X14" s="170"/>
      <c r="Y14" s="183"/>
      <c r="Z14" s="181"/>
      <c r="AA14" s="170"/>
      <c r="AB14" s="167"/>
      <c r="AC14" s="168"/>
      <c r="AD14" s="178"/>
      <c r="AE14" s="172"/>
      <c r="AF14" s="168"/>
    </row>
    <row r="15" spans="1:32" s="26" customFormat="1" ht="13.7" customHeight="1">
      <c r="A15" s="29"/>
      <c r="B15" s="68" t="s">
        <v>15</v>
      </c>
      <c r="C15" s="130"/>
      <c r="D15" s="134" t="s">
        <v>16</v>
      </c>
      <c r="E15" s="130"/>
      <c r="F15" s="134" t="s">
        <v>17</v>
      </c>
      <c r="G15" s="130"/>
      <c r="H15" s="134" t="s">
        <v>18</v>
      </c>
      <c r="I15" s="130"/>
      <c r="J15" s="10"/>
      <c r="K15" s="10"/>
      <c r="L15" s="79"/>
      <c r="M15" s="80"/>
      <c r="N15" s="81"/>
      <c r="O15" s="10"/>
      <c r="P15" s="2"/>
      <c r="R15" s="48" t="s">
        <v>4</v>
      </c>
      <c r="S15" s="197"/>
      <c r="T15" s="55" t="s">
        <v>5</v>
      </c>
      <c r="U15" s="57"/>
      <c r="W15" s="27"/>
      <c r="X15" s="175"/>
      <c r="Y15" s="182" t="s">
        <v>55</v>
      </c>
      <c r="Z15" s="180" t="s">
        <v>56</v>
      </c>
      <c r="AA15" s="175"/>
      <c r="AB15" s="167" t="s">
        <v>34</v>
      </c>
      <c r="AC15" s="168" t="s">
        <v>32</v>
      </c>
      <c r="AD15" s="179"/>
      <c r="AE15" s="167" t="s">
        <v>42</v>
      </c>
      <c r="AF15" s="168" t="s">
        <v>43</v>
      </c>
    </row>
    <row r="16" spans="1:32" s="26" customFormat="1" ht="13.7" customHeight="1">
      <c r="A16" s="29"/>
      <c r="B16" s="69"/>
      <c r="C16" s="131"/>
      <c r="D16" s="135"/>
      <c r="E16" s="131"/>
      <c r="F16" s="135"/>
      <c r="G16" s="131"/>
      <c r="H16" s="135"/>
      <c r="I16" s="131"/>
      <c r="J16" s="10"/>
      <c r="K16" s="10"/>
      <c r="L16" s="82"/>
      <c r="M16" s="83"/>
      <c r="N16" s="84"/>
      <c r="O16" s="10"/>
      <c r="P16" s="2"/>
      <c r="R16" s="196"/>
      <c r="S16" s="198"/>
      <c r="T16" s="194"/>
      <c r="U16" s="195"/>
      <c r="X16" s="176"/>
      <c r="Y16" s="183"/>
      <c r="Z16" s="181"/>
      <c r="AA16" s="176"/>
      <c r="AB16" s="173"/>
      <c r="AC16" s="174"/>
      <c r="AD16" s="179"/>
      <c r="AE16" s="173"/>
      <c r="AF16" s="174"/>
    </row>
    <row r="17" spans="1:32" s="26" customFormat="1" ht="15.6" customHeight="1">
      <c r="A17" s="29"/>
      <c r="B17" s="163" t="s">
        <v>11</v>
      </c>
      <c r="C17" s="164"/>
      <c r="D17" s="132"/>
      <c r="E17" s="133"/>
      <c r="F17" s="25" t="s">
        <v>12</v>
      </c>
      <c r="G17" s="46" t="s">
        <v>80</v>
      </c>
      <c r="H17" s="46"/>
      <c r="I17" s="47"/>
      <c r="J17" s="10"/>
      <c r="K17" s="18"/>
      <c r="L17" s="19"/>
      <c r="M17" s="19"/>
      <c r="N17" s="19"/>
      <c r="O17" s="20"/>
      <c r="P17" s="2"/>
      <c r="R17" s="48" t="s">
        <v>2</v>
      </c>
      <c r="S17" s="53" t="s">
        <v>87</v>
      </c>
      <c r="T17" s="55" t="s">
        <v>3</v>
      </c>
      <c r="U17" s="57"/>
      <c r="X17" s="175"/>
      <c r="Y17" s="182" t="s">
        <v>21</v>
      </c>
      <c r="Z17" s="180" t="s">
        <v>22</v>
      </c>
      <c r="AA17" s="175"/>
      <c r="AB17" s="167" t="s">
        <v>35</v>
      </c>
      <c r="AC17" s="168" t="s">
        <v>36</v>
      </c>
      <c r="AD17" s="179"/>
      <c r="AE17" s="167" t="s">
        <v>44</v>
      </c>
      <c r="AF17" s="168" t="s">
        <v>45</v>
      </c>
    </row>
    <row r="18" spans="1:32" ht="13.9" customHeight="1" thickBot="1">
      <c r="A18" s="28"/>
      <c r="B18" s="160"/>
      <c r="C18" s="161"/>
      <c r="D18" s="161"/>
      <c r="E18" s="161"/>
      <c r="F18" s="161"/>
      <c r="G18" s="161"/>
      <c r="H18" s="161"/>
      <c r="I18" s="162"/>
      <c r="J18" s="22"/>
      <c r="K18" s="21"/>
      <c r="L18" s="21"/>
      <c r="M18" s="21"/>
      <c r="N18" s="21"/>
      <c r="O18" s="21"/>
      <c r="P18" s="5"/>
      <c r="R18" s="49"/>
      <c r="S18" s="54"/>
      <c r="T18" s="56"/>
      <c r="U18" s="58"/>
      <c r="X18" s="176"/>
      <c r="Y18" s="183"/>
      <c r="Z18" s="181"/>
      <c r="AA18" s="176"/>
      <c r="AB18" s="173"/>
      <c r="AC18" s="174"/>
      <c r="AD18" s="179"/>
      <c r="AE18" s="173"/>
      <c r="AF18" s="174"/>
    </row>
    <row r="19" spans="1:32" ht="8.85" customHeight="1" thickTop="1">
      <c r="A19" s="28"/>
      <c r="B19" s="73" t="s">
        <v>54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5"/>
      <c r="W19" s="6"/>
      <c r="X19" s="175"/>
      <c r="Y19" s="182" t="s">
        <v>26</v>
      </c>
      <c r="Z19" s="180" t="s">
        <v>25</v>
      </c>
      <c r="AA19" s="175"/>
      <c r="AB19" s="167" t="s">
        <v>35</v>
      </c>
      <c r="AC19" s="168" t="s">
        <v>36</v>
      </c>
      <c r="AD19" s="179"/>
      <c r="AE19" s="167" t="s">
        <v>46</v>
      </c>
      <c r="AF19" s="168" t="s">
        <v>47</v>
      </c>
    </row>
    <row r="20" spans="1:32" ht="21.75" customHeight="1">
      <c r="A20" s="28"/>
      <c r="B20" s="127" t="str">
        <f>CONCATENATE(H1,"   ",C2)</f>
        <v>ČSD   T466.2024</v>
      </c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9"/>
      <c r="S20" s="199" t="s">
        <v>70</v>
      </c>
      <c r="T20" s="200"/>
      <c r="W20" s="6"/>
      <c r="X20" s="176"/>
      <c r="Y20" s="183"/>
      <c r="Z20" s="181"/>
      <c r="AA20" s="176"/>
      <c r="AB20" s="173"/>
      <c r="AC20" s="174"/>
      <c r="AD20" s="179"/>
      <c r="AE20" s="173"/>
      <c r="AF20" s="174"/>
    </row>
    <row r="21" spans="1:32" ht="9.75" customHeight="1">
      <c r="A21" s="28"/>
      <c r="B21" s="50" t="s">
        <v>72</v>
      </c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2"/>
      <c r="S21" s="200"/>
      <c r="T21" s="200"/>
      <c r="W21" s="6"/>
      <c r="X21" s="6"/>
      <c r="Y21" s="6"/>
      <c r="Z21" s="6"/>
      <c r="AA21" s="7"/>
    </row>
    <row r="22" spans="1:32" ht="12.6" customHeight="1">
      <c r="A22" s="28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5"/>
      <c r="S22" s="200"/>
      <c r="T22" s="200"/>
      <c r="W22" s="6"/>
      <c r="X22" s="6"/>
      <c r="Y22" s="6"/>
      <c r="Z22" s="6"/>
      <c r="AA22" s="7"/>
    </row>
    <row r="23" spans="1:32" ht="13.15" customHeight="1">
      <c r="A23" s="28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5"/>
      <c r="S23" s="200"/>
      <c r="T23" s="200"/>
      <c r="W23" s="6"/>
      <c r="X23" s="6"/>
      <c r="Y23" s="6"/>
      <c r="Z23" s="6"/>
      <c r="AA23" s="7"/>
    </row>
    <row r="24" spans="1:32" ht="8.85" customHeight="1">
      <c r="A24" s="28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5"/>
      <c r="R24" s="6"/>
      <c r="S24" s="200"/>
      <c r="T24" s="200"/>
      <c r="U24" s="6"/>
    </row>
    <row r="25" spans="1:32" ht="81" customHeight="1">
      <c r="A25" s="28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5"/>
      <c r="R25" s="6"/>
      <c r="S25" s="200"/>
      <c r="T25" s="200"/>
      <c r="U25" s="44"/>
    </row>
    <row r="26" spans="1:32" ht="13.15" customHeight="1">
      <c r="A26" s="28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5"/>
      <c r="R26" s="6"/>
      <c r="S26" s="200"/>
      <c r="T26" s="200"/>
      <c r="U26" s="45"/>
    </row>
    <row r="27" spans="1:32" ht="13.15" customHeight="1">
      <c r="A27" s="28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5"/>
      <c r="R27" s="6"/>
      <c r="S27" s="45"/>
      <c r="T27" s="44"/>
      <c r="U27" s="44"/>
    </row>
    <row r="28" spans="1:32" ht="13.15" customHeight="1">
      <c r="A28" s="28"/>
      <c r="B28" s="116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8"/>
      <c r="R28" s="6"/>
      <c r="S28" s="45"/>
      <c r="T28" s="45"/>
      <c r="U28" s="45"/>
    </row>
    <row r="29" spans="1:32" ht="9.75" customHeight="1">
      <c r="A29" s="28"/>
      <c r="B29" s="147" t="s">
        <v>51</v>
      </c>
      <c r="C29" s="111"/>
      <c r="D29" s="111"/>
      <c r="E29" s="111"/>
      <c r="F29" s="111"/>
      <c r="G29" s="111"/>
      <c r="H29" s="111"/>
      <c r="I29" s="111"/>
      <c r="J29" s="111"/>
      <c r="K29" s="111"/>
      <c r="L29" s="148"/>
      <c r="M29" s="110" t="s">
        <v>74</v>
      </c>
      <c r="N29" s="111"/>
      <c r="O29" s="111"/>
      <c r="P29" s="112"/>
      <c r="R29" s="6"/>
      <c r="S29" s="6"/>
      <c r="T29" s="6"/>
      <c r="U29" s="6"/>
    </row>
    <row r="30" spans="1:32" ht="10.15" customHeight="1">
      <c r="A30" s="28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45"/>
      <c r="M30" s="59" t="s">
        <v>82</v>
      </c>
      <c r="N30" s="60"/>
      <c r="O30" s="60"/>
      <c r="P30" s="61"/>
      <c r="R30" s="6"/>
      <c r="S30" s="6"/>
      <c r="T30" s="6"/>
      <c r="U30" s="6"/>
    </row>
    <row r="31" spans="1:32" ht="10.15" customHeight="1">
      <c r="A31" s="28"/>
      <c r="B31" s="116"/>
      <c r="C31" s="117"/>
      <c r="D31" s="117"/>
      <c r="E31" s="117"/>
      <c r="F31" s="117"/>
      <c r="G31" s="117"/>
      <c r="H31" s="117"/>
      <c r="I31" s="117"/>
      <c r="J31" s="117"/>
      <c r="K31" s="117"/>
      <c r="L31" s="146"/>
      <c r="M31" s="62"/>
      <c r="N31" s="63"/>
      <c r="O31" s="63"/>
      <c r="P31" s="64"/>
      <c r="R31" s="6"/>
      <c r="S31" s="6"/>
      <c r="T31" s="6"/>
      <c r="U31" s="6"/>
    </row>
    <row r="32" spans="1:32" ht="12.95" customHeight="1">
      <c r="A32" s="28"/>
      <c r="B32" s="147" t="s">
        <v>73</v>
      </c>
      <c r="C32" s="148"/>
      <c r="D32" s="149" t="s">
        <v>75</v>
      </c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1"/>
      <c r="R32" s="6"/>
      <c r="S32" s="6"/>
      <c r="T32" s="6"/>
      <c r="U32" s="6"/>
    </row>
    <row r="33" spans="1:21" ht="12.95" customHeight="1">
      <c r="A33" s="28"/>
      <c r="B33" s="87" t="s">
        <v>78</v>
      </c>
      <c r="C33" s="88"/>
      <c r="D33" s="85" t="s">
        <v>65</v>
      </c>
      <c r="E33" s="86"/>
      <c r="F33" s="108" t="s">
        <v>68</v>
      </c>
      <c r="G33" s="109"/>
      <c r="H33" s="85" t="s">
        <v>59</v>
      </c>
      <c r="I33" s="86"/>
      <c r="J33" s="108" t="s">
        <v>57</v>
      </c>
      <c r="K33" s="108"/>
      <c r="L33" s="109"/>
      <c r="M33" s="23" t="s">
        <v>62</v>
      </c>
      <c r="N33" s="106">
        <v>112</v>
      </c>
      <c r="O33" s="106"/>
      <c r="P33" s="152"/>
      <c r="R33" s="6"/>
      <c r="S33" s="6"/>
      <c r="T33" s="6"/>
      <c r="U33" s="6"/>
    </row>
    <row r="34" spans="1:21" ht="12.95" customHeight="1">
      <c r="A34" s="28"/>
      <c r="B34" s="87"/>
      <c r="C34" s="88"/>
      <c r="D34" s="85" t="s">
        <v>0</v>
      </c>
      <c r="E34" s="86"/>
      <c r="F34" s="108">
        <v>358</v>
      </c>
      <c r="G34" s="109"/>
      <c r="H34" s="85" t="s">
        <v>58</v>
      </c>
      <c r="I34" s="86"/>
      <c r="J34" s="106" t="s">
        <v>60</v>
      </c>
      <c r="K34" s="106"/>
      <c r="L34" s="107"/>
      <c r="M34" s="23" t="s">
        <v>63</v>
      </c>
      <c r="N34" s="104">
        <v>155</v>
      </c>
      <c r="O34" s="104"/>
      <c r="P34" s="105"/>
      <c r="R34" s="6"/>
      <c r="S34" s="6"/>
      <c r="T34" s="6"/>
      <c r="U34" s="6"/>
    </row>
    <row r="35" spans="1:21" ht="12.95" customHeight="1">
      <c r="A35" s="28"/>
      <c r="B35" s="87"/>
      <c r="C35" s="88"/>
      <c r="D35" s="85" t="s">
        <v>77</v>
      </c>
      <c r="E35" s="86"/>
      <c r="F35" s="108" t="s">
        <v>61</v>
      </c>
      <c r="G35" s="109"/>
      <c r="H35" s="85"/>
      <c r="I35" s="86"/>
      <c r="J35" s="97"/>
      <c r="K35" s="97"/>
      <c r="L35" s="98"/>
      <c r="M35" s="23" t="s">
        <v>64</v>
      </c>
      <c r="N35" s="101">
        <v>90</v>
      </c>
      <c r="O35" s="101"/>
      <c r="P35" s="102"/>
      <c r="R35" s="6"/>
      <c r="S35" s="6"/>
      <c r="T35" s="6"/>
      <c r="U35" s="6"/>
    </row>
    <row r="36" spans="1:21" ht="12.95" customHeight="1" thickBot="1">
      <c r="A36" s="28"/>
      <c r="B36" s="89"/>
      <c r="C36" s="90"/>
      <c r="D36" s="139" t="s">
        <v>66</v>
      </c>
      <c r="E36" s="140"/>
      <c r="F36" s="99" t="s">
        <v>60</v>
      </c>
      <c r="G36" s="100"/>
      <c r="H36" s="139" t="s">
        <v>1</v>
      </c>
      <c r="I36" s="140"/>
      <c r="J36" s="99" t="s">
        <v>60</v>
      </c>
      <c r="K36" s="99"/>
      <c r="L36" s="100"/>
      <c r="M36" s="24" t="s">
        <v>67</v>
      </c>
      <c r="N36" s="99" t="s">
        <v>86</v>
      </c>
      <c r="O36" s="99"/>
      <c r="P36" s="103"/>
      <c r="R36" s="6"/>
      <c r="S36" s="6"/>
      <c r="T36" s="6"/>
      <c r="U36" s="6"/>
    </row>
    <row r="37" spans="1:21" ht="13.5" thickTop="1">
      <c r="I37" s="4"/>
    </row>
  </sheetData>
  <mergeCells count="157"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A9:AA10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2017-08-27T14:55:20Z</cp:lastPrinted>
  <dcterms:created xsi:type="dcterms:W3CDTF">2006-08-23T20:38:06Z</dcterms:created>
  <dcterms:modified xsi:type="dcterms:W3CDTF">2019-08-28T07:10:53Z</dcterms:modified>
</cp:coreProperties>
</file>