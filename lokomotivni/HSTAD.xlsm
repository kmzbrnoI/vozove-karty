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to_sešit"/>
  <mc:AlternateContent xmlns:mc="http://schemas.openxmlformats.org/markup-compatibility/2006">
    <mc:Choice Requires="x15">
      <x15ac:absPath xmlns:x15ac="http://schemas.microsoft.com/office/spreadsheetml/2010/11/ac" url="D:\UsersData\vlak\KMZ\vozove_karty\lokomotivni\"/>
    </mc:Choice>
  </mc:AlternateContent>
  <bookViews>
    <workbookView xWindow="120" yWindow="135" windowWidth="17100" windowHeight="10305"/>
  </bookViews>
  <sheets>
    <sheet name="MUSTER" sheetId="14" r:id="rId1"/>
  </sheets>
  <definedNames>
    <definedName name="Frachtsatz1">#REF!</definedName>
    <definedName name="Frachtsatz10">#REF!</definedName>
    <definedName name="Frachtsatz11">#REF!</definedName>
    <definedName name="Frachtsatz12">#REF!</definedName>
    <definedName name="Frachtsatz2">#REF!</definedName>
    <definedName name="Frachtsatz3">#REF!</definedName>
    <definedName name="Frachtsatz4">#REF!</definedName>
    <definedName name="Frachtsatz5">#REF!</definedName>
    <definedName name="Frachtsatz6">#REF!</definedName>
    <definedName name="Frachtsatz7">#REF!</definedName>
    <definedName name="Frachtsatz8">#REF!</definedName>
    <definedName name="Frachtsatz9">#REF!</definedName>
    <definedName name="Gütersatz4" localSheetId="0">MUSTER!#REF!</definedName>
    <definedName name="Gütersatz4">#REF!</definedName>
    <definedName name="HTML_CodePage" hidden="1">1252</definedName>
    <definedName name="HTML_Control" localSheetId="0" hidden="1">{"'Versionen'!$A$1:$I$81"}</definedName>
    <definedName name="HTML_Control" hidden="1">{"'Versionen'!$A$1:$I$85"}</definedName>
    <definedName name="HTML_Description" hidden="1">""</definedName>
    <definedName name="HTML_Email" hidden="1">"17180@gmx.de"</definedName>
    <definedName name="HTML_Header" hidden="1">"Versionen"</definedName>
    <definedName name="HTML_LastUpdate" hidden="1">"02.01.00"</definedName>
    <definedName name="HTML_LineAfter" hidden="1">FALSE</definedName>
    <definedName name="HTML_LineBefore" hidden="1">FALSE</definedName>
    <definedName name="HTML_Name" hidden="1">"A. Nothaft"</definedName>
    <definedName name="HTML_OBDlg2" hidden="1">TRUE</definedName>
    <definedName name="HTML_OBDlg4" hidden="1">TRUE</definedName>
    <definedName name="HTML_OS" hidden="1">0</definedName>
    <definedName name="HTML_PathFile" hidden="1">"C:\Eigene Dateien\TEXTE\Html\an17180\Versionen.htm"</definedName>
    <definedName name="HTML_Title" hidden="1">"Versionen des Wagenkarten-Programms"</definedName>
    <definedName name="nGSFaktor" localSheetId="0">MUSTER!#REF!</definedName>
    <definedName name="nGSFaktor">#REF!</definedName>
    <definedName name="nGZFaktor" localSheetId="0">MUSTER!#REF!</definedName>
    <definedName name="nGZFaktor">#REF!</definedName>
    <definedName name="_xlnm.Print_Area" localSheetId="0">MUSTER!$A$1:$U$36</definedName>
    <definedName name="SFaktor" localSheetId="0">MUSTER!#REF!</definedName>
    <definedName name="ZFaktor" localSheetId="0">MUSTER!#REF!</definedName>
  </definedNames>
  <calcPr calcId="152511"/>
</workbook>
</file>

<file path=xl/calcChain.xml><?xml version="1.0" encoding="utf-8"?>
<calcChain xmlns="http://schemas.openxmlformats.org/spreadsheetml/2006/main">
  <c r="R7" i="14" l="1"/>
  <c r="B20" i="14"/>
  <c r="R5" i="14"/>
  <c r="R3" i="14"/>
  <c r="R2" i="14"/>
</calcChain>
</file>

<file path=xl/sharedStrings.xml><?xml version="1.0" encoding="utf-8"?>
<sst xmlns="http://schemas.openxmlformats.org/spreadsheetml/2006/main" count="101" uniqueCount="86">
  <si>
    <t>NEM-šachta:</t>
  </si>
  <si>
    <t>Patina:</t>
  </si>
  <si>
    <t>F4</t>
  </si>
  <si>
    <t>F8</t>
  </si>
  <si>
    <t>F3</t>
  </si>
  <si>
    <t>F7</t>
  </si>
  <si>
    <t>F6</t>
  </si>
  <si>
    <t>F2</t>
  </si>
  <si>
    <t>F1</t>
  </si>
  <si>
    <t>F5</t>
  </si>
  <si>
    <t>F0</t>
  </si>
  <si>
    <t xml:space="preserve">Loco Address: </t>
  </si>
  <si>
    <t>Decoder:</t>
  </si>
  <si>
    <t>Loco Depo:</t>
  </si>
  <si>
    <t>F9</t>
  </si>
  <si>
    <t>F10</t>
  </si>
  <si>
    <t>F11</t>
  </si>
  <si>
    <t>F12</t>
  </si>
  <si>
    <t>svetlo</t>
  </si>
  <si>
    <t>light</t>
  </si>
  <si>
    <t>zvuk zap/vyp</t>
  </si>
  <si>
    <t>sound on/off</t>
  </si>
  <si>
    <t>tail lights</t>
  </si>
  <si>
    <t>koncové svetlá</t>
  </si>
  <si>
    <t>max. engine speed</t>
  </si>
  <si>
    <t>max. otáčky motora</t>
  </si>
  <si>
    <t>trúba dlhá</t>
  </si>
  <si>
    <t>trúba krátka</t>
  </si>
  <si>
    <t>horn short</t>
  </si>
  <si>
    <t>horn long</t>
  </si>
  <si>
    <t>whistle long</t>
  </si>
  <si>
    <t>whistle short</t>
  </si>
  <si>
    <t>píšťala dlhá</t>
  </si>
  <si>
    <t>píšťala krátka</t>
  </si>
  <si>
    <t>zvuky</t>
  </si>
  <si>
    <t>sounds</t>
  </si>
  <si>
    <t>spriahlo</t>
  </si>
  <si>
    <t>pieskovanie</t>
  </si>
  <si>
    <t>sandblasting</t>
  </si>
  <si>
    <t>open / close the door</t>
  </si>
  <si>
    <t>otvoriť / zavrieť
 dvere</t>
  </si>
  <si>
    <t>ventilátor</t>
  </si>
  <si>
    <t>fan</t>
  </si>
  <si>
    <t>výpravca</t>
  </si>
  <si>
    <t>dispatcher</t>
  </si>
  <si>
    <t>posun</t>
  </si>
  <si>
    <t>shunting mode</t>
  </si>
  <si>
    <t>front lights</t>
  </si>
  <si>
    <t>predné svetlá</t>
  </si>
  <si>
    <t>coupler</t>
  </si>
  <si>
    <t>Vyznačné rysy modelu / Characteristic features:</t>
  </si>
  <si>
    <t>Číslo hnacieho vozidla / Loco designation :</t>
  </si>
  <si>
    <t>Popis vozidla / Loco Description:</t>
  </si>
  <si>
    <t>Popis modelu / Model Description:</t>
  </si>
  <si>
    <t>reflektor</t>
  </si>
  <si>
    <t>reflector</t>
  </si>
  <si>
    <t>NEM 311</t>
  </si>
  <si>
    <t>Bandáž:</t>
  </si>
  <si>
    <t>Brno</t>
  </si>
  <si>
    <t>Dvojkolí:</t>
  </si>
  <si>
    <t>ne</t>
  </si>
  <si>
    <t>ano</t>
  </si>
  <si>
    <t>Délka:</t>
  </si>
  <si>
    <t>Hmotnost:</t>
  </si>
  <si>
    <t>Max rychlost:</t>
  </si>
  <si>
    <t>Spřáhlo:</t>
  </si>
  <si>
    <t>Zkrácené:</t>
  </si>
  <si>
    <t>M. období:</t>
  </si>
  <si>
    <t>Oběh</t>
  </si>
  <si>
    <t>Karta pro FRED
Card for FRED</t>
  </si>
  <si>
    <t>Funkce/Functions:</t>
  </si>
  <si>
    <t>Obrázek / Loco picture:</t>
  </si>
  <si>
    <t>Majitel / Owner:</t>
  </si>
  <si>
    <t>Značka majitele / Owner´s label:</t>
  </si>
  <si>
    <t>Kinematika:</t>
  </si>
  <si>
    <t>V</t>
  </si>
  <si>
    <t>840 010-3</t>
  </si>
  <si>
    <t>ČD</t>
  </si>
  <si>
    <t>HSTAD 8400</t>
  </si>
  <si>
    <t>Model není vybaven spřáhly. Spřáhla lze po úpravě doplnit.</t>
  </si>
  <si>
    <t>Horáčkovi
CZ</t>
  </si>
  <si>
    <t>Motorová jednotka ČD (Regio Shuttle, Stadler) v modro-bílém (Najbrt) nátěru.</t>
  </si>
  <si>
    <t>2011+</t>
  </si>
  <si>
    <t>Výrobe modelu / Manufacturer: Kuiehn</t>
  </si>
  <si>
    <t>Zimo MX618N18</t>
  </si>
  <si>
    <t>odnímatelné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</si>
</sst>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\ \m\m"/>
    <numFmt numFmtId="165" formatCode="0\ \g"/>
    <numFmt numFmtId="166" formatCode="0\ \k\m\/\h"/>
    <numFmt numFmtId="167" formatCode="0.00\ \m\m"/>
  </numFmts>
  <fonts count="17" x14ac:knownFonts="1">
    <font>
      <sz val="10"/>
      <name val="Arial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"/>
      <family val="2"/>
      <charset val="238"/>
    </font>
    <font>
      <sz val="7"/>
      <name val="Arial"/>
      <family val="2"/>
      <charset val="238"/>
    </font>
    <font>
      <b/>
      <sz val="20"/>
      <name val="Arial"/>
      <family val="2"/>
      <charset val="238"/>
    </font>
    <font>
      <b/>
      <sz val="16"/>
      <name val="Arial"/>
      <family val="2"/>
      <charset val="238"/>
    </font>
    <font>
      <sz val="18"/>
      <name val="Arial"/>
      <family val="2"/>
      <charset val="238"/>
    </font>
    <font>
      <b/>
      <sz val="18"/>
      <name val="Arial"/>
      <family val="2"/>
      <charset val="238"/>
    </font>
    <font>
      <sz val="14"/>
      <name val="Arial"/>
      <family val="2"/>
      <charset val="238"/>
    </font>
    <font>
      <sz val="12"/>
      <name val="Arial"/>
      <family val="2"/>
      <charset val="238"/>
    </font>
    <font>
      <sz val="11"/>
      <name val="Arial"/>
      <family val="2"/>
      <charset val="238"/>
    </font>
    <font>
      <b/>
      <sz val="58"/>
      <name val="Arial"/>
      <family val="2"/>
      <charset val="238"/>
    </font>
    <font>
      <b/>
      <sz val="28"/>
      <name val="Arial"/>
      <family val="2"/>
      <charset val="238"/>
    </font>
    <font>
      <b/>
      <sz val="12"/>
      <name val="Arial"/>
      <family val="2"/>
      <charset val="238"/>
    </font>
    <font>
      <sz val="16"/>
      <name val="Arial"/>
      <family val="2"/>
      <charset val="238"/>
    </font>
    <font>
      <sz val="9"/>
      <name val="Arial"/>
      <family val="2"/>
      <charset val="238"/>
    </font>
  </fonts>
  <fills count="2">
    <fill>
      <patternFill patternType="none"/>
    </fill>
    <fill>
      <patternFill patternType="gray125"/>
    </fill>
  </fills>
  <borders count="60">
    <border>
      <left/>
      <right/>
      <top/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05">
    <xf numFmtId="0" fontId="0" fillId="0" borderId="0" xfId="0"/>
    <xf numFmtId="0" fontId="1" fillId="0" borderId="20" xfId="0" applyFont="1" applyBorder="1"/>
    <xf numFmtId="0" fontId="1" fillId="0" borderId="24" xfId="0" applyFont="1" applyFill="1" applyBorder="1" applyAlignment="1"/>
    <xf numFmtId="0" fontId="1" fillId="0" borderId="25" xfId="0" applyFont="1" applyFill="1" applyBorder="1" applyAlignment="1"/>
    <xf numFmtId="0" fontId="1" fillId="0" borderId="26" xfId="0" applyFont="1" applyFill="1" applyBorder="1" applyAlignment="1"/>
    <xf numFmtId="0" fontId="1" fillId="0" borderId="0" xfId="0" applyFont="1"/>
    <xf numFmtId="0" fontId="1" fillId="0" borderId="21" xfId="0" applyFont="1" applyBorder="1"/>
    <xf numFmtId="0" fontId="1" fillId="0" borderId="22" xfId="0" applyFont="1" applyBorder="1"/>
    <xf numFmtId="0" fontId="1" fillId="0" borderId="26" xfId="0" applyFont="1" applyBorder="1"/>
    <xf numFmtId="0" fontId="6" fillId="0" borderId="4" xfId="0" applyNumberFormat="1" applyFont="1" applyFill="1" applyBorder="1" applyAlignment="1">
      <alignment horizontal="center" vertical="center" shrinkToFit="1"/>
    </xf>
    <xf numFmtId="0" fontId="1" fillId="0" borderId="29" xfId="0" applyFont="1" applyFill="1" applyBorder="1" applyAlignment="1"/>
    <xf numFmtId="0" fontId="1" fillId="0" borderId="33" xfId="0" applyFont="1" applyFill="1" applyBorder="1" applyAlignment="1"/>
    <xf numFmtId="0" fontId="1" fillId="0" borderId="37" xfId="0" applyFont="1" applyFill="1" applyBorder="1" applyAlignment="1"/>
    <xf numFmtId="0" fontId="1" fillId="0" borderId="35" xfId="0" applyFont="1" applyFill="1" applyBorder="1" applyAlignment="1"/>
    <xf numFmtId="0" fontId="1" fillId="0" borderId="36" xfId="0" applyFont="1" applyFill="1" applyBorder="1" applyAlignment="1"/>
    <xf numFmtId="0" fontId="1" fillId="0" borderId="39" xfId="0" applyFont="1" applyFill="1" applyBorder="1" applyAlignment="1"/>
    <xf numFmtId="0" fontId="1" fillId="0" borderId="0" xfId="0" applyFont="1" applyFill="1" applyBorder="1" applyAlignment="1"/>
    <xf numFmtId="0" fontId="1" fillId="0" borderId="38" xfId="0" applyFont="1" applyFill="1" applyBorder="1" applyAlignment="1"/>
    <xf numFmtId="0" fontId="9" fillId="0" borderId="30" xfId="0" applyFont="1" applyFill="1" applyBorder="1" applyAlignment="1">
      <alignment horizontal="center" vertical="center" shrinkToFit="1"/>
    </xf>
    <xf numFmtId="0" fontId="2" fillId="0" borderId="13" xfId="0" applyFont="1" applyFill="1" applyBorder="1" applyAlignment="1"/>
    <xf numFmtId="0" fontId="2" fillId="0" borderId="35" xfId="0" applyFont="1" applyFill="1" applyBorder="1" applyAlignment="1">
      <alignment vertical="center"/>
    </xf>
    <xf numFmtId="0" fontId="2" fillId="0" borderId="36" xfId="0" applyFont="1" applyFill="1" applyBorder="1" applyAlignment="1">
      <alignment vertical="center"/>
    </xf>
    <xf numFmtId="0" fontId="1" fillId="0" borderId="35" xfId="0" applyFont="1" applyFill="1" applyBorder="1" applyAlignment="1">
      <alignment vertical="center" shrinkToFit="1"/>
    </xf>
    <xf numFmtId="0" fontId="1" fillId="0" borderId="36" xfId="0" applyFont="1" applyFill="1" applyBorder="1" applyAlignment="1">
      <alignment vertical="center" shrinkToFit="1"/>
    </xf>
    <xf numFmtId="0" fontId="1" fillId="0" borderId="0" xfId="0" applyFont="1" applyBorder="1"/>
    <xf numFmtId="0" fontId="1" fillId="0" borderId="5" xfId="0" applyFont="1" applyFill="1" applyBorder="1" applyAlignment="1">
      <alignment vertical="center" shrinkToFit="1"/>
    </xf>
    <xf numFmtId="0" fontId="1" fillId="0" borderId="27" xfId="0" applyFont="1" applyFill="1" applyBorder="1" applyAlignment="1">
      <alignment vertical="center" shrinkToFit="1"/>
    </xf>
    <xf numFmtId="0" fontId="1" fillId="0" borderId="20" xfId="0" applyFont="1" applyFill="1" applyBorder="1"/>
    <xf numFmtId="0" fontId="1" fillId="0" borderId="0" xfId="0" applyFont="1" applyFill="1"/>
    <xf numFmtId="0" fontId="1" fillId="0" borderId="5" xfId="0" applyFont="1" applyFill="1" applyBorder="1" applyAlignment="1"/>
    <xf numFmtId="0" fontId="1" fillId="0" borderId="0" xfId="0" applyFont="1" applyFill="1" applyBorder="1"/>
    <xf numFmtId="0" fontId="2" fillId="0" borderId="30" xfId="0" applyFont="1" applyFill="1" applyBorder="1" applyAlignment="1">
      <alignment vertical="center" shrinkToFit="1"/>
    </xf>
    <xf numFmtId="0" fontId="1" fillId="0" borderId="28" xfId="0" applyFont="1" applyFill="1" applyBorder="1" applyAlignment="1"/>
    <xf numFmtId="0" fontId="1" fillId="0" borderId="31" xfId="0" applyFont="1" applyFill="1" applyBorder="1" applyAlignment="1"/>
    <xf numFmtId="0" fontId="1" fillId="0" borderId="27" xfId="0" applyFont="1" applyFill="1" applyBorder="1" applyAlignment="1"/>
    <xf numFmtId="0" fontId="1" fillId="0" borderId="50" xfId="0" applyFont="1" applyFill="1" applyBorder="1" applyAlignment="1">
      <alignment horizontal="center" shrinkToFit="1"/>
    </xf>
    <xf numFmtId="0" fontId="1" fillId="0" borderId="48" xfId="0" applyFont="1" applyFill="1" applyBorder="1" applyAlignment="1"/>
    <xf numFmtId="0" fontId="1" fillId="0" borderId="51" xfId="0" applyFont="1" applyFill="1" applyBorder="1" applyAlignment="1"/>
    <xf numFmtId="0" fontId="1" fillId="0" borderId="0" xfId="0" applyFont="1" applyFill="1" applyAlignment="1"/>
    <xf numFmtId="0" fontId="1" fillId="0" borderId="0" xfId="0" applyFont="1" applyAlignment="1"/>
    <xf numFmtId="0" fontId="2" fillId="0" borderId="30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1" fillId="0" borderId="0" xfId="0" applyFont="1" applyAlignment="1">
      <alignment horizontal="center" vertical="top" textRotation="90" wrapText="1"/>
    </xf>
    <xf numFmtId="0" fontId="1" fillId="0" borderId="0" xfId="0" applyFont="1" applyAlignment="1">
      <alignment horizontal="center" vertical="top" textRotation="90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" fillId="0" borderId="40" xfId="0" applyFont="1" applyBorder="1" applyAlignment="1">
      <alignment horizontal="center" shrinkToFit="1"/>
    </xf>
    <xf numFmtId="0" fontId="1" fillId="0" borderId="41" xfId="0" applyFont="1" applyBorder="1" applyAlignment="1">
      <alignment horizontal="center" shrinkToFit="1"/>
    </xf>
    <xf numFmtId="0" fontId="1" fillId="0" borderId="42" xfId="0" applyFont="1" applyBorder="1" applyAlignment="1">
      <alignment horizontal="center" shrinkToFit="1"/>
    </xf>
    <xf numFmtId="0" fontId="1" fillId="0" borderId="34" xfId="0" applyFont="1" applyFill="1" applyBorder="1" applyAlignment="1">
      <alignment horizontal="left" vertical="center" wrapText="1" shrinkToFit="1"/>
    </xf>
    <xf numFmtId="0" fontId="12" fillId="0" borderId="0" xfId="0" applyFont="1" applyFill="1" applyBorder="1" applyAlignment="1">
      <alignment horizontal="left" vertical="center" wrapText="1" shrinkToFit="1"/>
    </xf>
    <xf numFmtId="0" fontId="12" fillId="0" borderId="38" xfId="0" applyFont="1" applyFill="1" applyBorder="1" applyAlignment="1">
      <alignment horizontal="left" vertical="center" wrapText="1" shrinkToFit="1"/>
    </xf>
    <xf numFmtId="0" fontId="12" fillId="0" borderId="4" xfId="0" applyFont="1" applyFill="1" applyBorder="1" applyAlignment="1">
      <alignment horizontal="left" vertical="center" wrapText="1" shrinkToFit="1"/>
    </xf>
    <xf numFmtId="0" fontId="12" fillId="0" borderId="5" xfId="0" applyFont="1" applyFill="1" applyBorder="1" applyAlignment="1">
      <alignment horizontal="left" vertical="center" wrapText="1" shrinkToFit="1"/>
    </xf>
    <xf numFmtId="0" fontId="12" fillId="0" borderId="27" xfId="0" applyFont="1" applyFill="1" applyBorder="1" applyAlignment="1">
      <alignment horizontal="left" vertical="center" wrapText="1" shrinkToFit="1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" fillId="0" borderId="11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 wrapText="1"/>
    </xf>
    <xf numFmtId="0" fontId="1" fillId="0" borderId="9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 wrapText="1"/>
    </xf>
    <xf numFmtId="0" fontId="1" fillId="0" borderId="9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 shrinkToFit="1"/>
    </xf>
    <xf numFmtId="0" fontId="11" fillId="0" borderId="0" xfId="0" applyFont="1" applyBorder="1" applyAlignment="1">
      <alignment horizontal="center" vertical="center" shrinkToFit="1"/>
    </xf>
    <xf numFmtId="0" fontId="11" fillId="0" borderId="20" xfId="0" applyFont="1" applyBorder="1" applyAlignment="1">
      <alignment horizontal="center" vertical="center" shrinkToFit="1"/>
    </xf>
    <xf numFmtId="0" fontId="1" fillId="0" borderId="1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14" xfId="0" applyFont="1" applyFill="1" applyBorder="1" applyAlignment="1">
      <alignment horizontal="center" vertical="center" wrapText="1"/>
    </xf>
    <xf numFmtId="0" fontId="1" fillId="0" borderId="15" xfId="0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wrapText="1"/>
    </xf>
    <xf numFmtId="0" fontId="1" fillId="0" borderId="44" xfId="0" applyFont="1" applyFill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 wrapText="1" shrinkToFit="1"/>
    </xf>
    <xf numFmtId="0" fontId="2" fillId="0" borderId="12" xfId="0" applyFont="1" applyFill="1" applyBorder="1" applyAlignment="1">
      <alignment horizontal="center" vertical="center" shrinkToFit="1"/>
    </xf>
    <xf numFmtId="0" fontId="7" fillId="0" borderId="5" xfId="0" applyNumberFormat="1" applyFont="1" applyFill="1" applyBorder="1" applyAlignment="1">
      <alignment horizontal="center" vertical="center" shrinkToFit="1"/>
    </xf>
    <xf numFmtId="0" fontId="7" fillId="0" borderId="27" xfId="0" applyNumberFormat="1" applyFont="1" applyFill="1" applyBorder="1" applyAlignment="1">
      <alignment horizontal="center" vertical="center" shrinkToFit="1"/>
    </xf>
    <xf numFmtId="0" fontId="2" fillId="0" borderId="36" xfId="0" applyFont="1" applyFill="1" applyBorder="1" applyAlignment="1">
      <alignment horizontal="center" vertical="center" shrinkToFit="1"/>
    </xf>
    <xf numFmtId="0" fontId="2" fillId="0" borderId="27" xfId="0" applyFont="1" applyFill="1" applyBorder="1" applyAlignment="1">
      <alignment horizontal="center" vertical="center" shrinkToFit="1"/>
    </xf>
    <xf numFmtId="0" fontId="1" fillId="0" borderId="9" xfId="0" applyFont="1" applyFill="1" applyBorder="1" applyAlignment="1">
      <alignment horizontal="center" vertical="center" shrinkToFit="1"/>
    </xf>
    <xf numFmtId="0" fontId="1" fillId="0" borderId="10" xfId="0" applyFont="1" applyFill="1" applyBorder="1" applyAlignment="1">
      <alignment horizontal="center" vertical="center" shrinkToFit="1"/>
    </xf>
    <xf numFmtId="0" fontId="1" fillId="0" borderId="47" xfId="0" applyFont="1" applyFill="1" applyBorder="1" applyAlignment="1">
      <alignment horizontal="left"/>
    </xf>
    <xf numFmtId="0" fontId="1" fillId="0" borderId="48" xfId="0" applyFont="1" applyBorder="1" applyAlignment="1">
      <alignment horizontal="left"/>
    </xf>
    <xf numFmtId="0" fontId="1" fillId="0" borderId="49" xfId="0" applyFont="1" applyBorder="1" applyAlignment="1">
      <alignment horizontal="left"/>
    </xf>
    <xf numFmtId="0" fontId="1" fillId="0" borderId="36" xfId="0" applyFont="1" applyFill="1" applyBorder="1" applyAlignment="1">
      <alignment horizontal="center" vertical="center" shrinkToFit="1"/>
    </xf>
    <xf numFmtId="0" fontId="1" fillId="0" borderId="27" xfId="0" applyFont="1" applyFill="1" applyBorder="1" applyAlignment="1">
      <alignment horizontal="center" vertical="center" shrinkToFit="1"/>
    </xf>
    <xf numFmtId="0" fontId="2" fillId="0" borderId="46" xfId="0" applyFont="1" applyFill="1" applyBorder="1" applyAlignment="1">
      <alignment horizontal="left" vertical="center" shrinkToFit="1"/>
    </xf>
    <xf numFmtId="0" fontId="2" fillId="0" borderId="31" xfId="0" applyFont="1" applyFill="1" applyBorder="1" applyAlignment="1">
      <alignment horizontal="left" vertical="center" shrinkToFit="1"/>
    </xf>
    <xf numFmtId="0" fontId="2" fillId="0" borderId="58" xfId="0" applyFont="1" applyFill="1" applyBorder="1" applyAlignment="1">
      <alignment horizontal="left" vertical="center"/>
    </xf>
    <xf numFmtId="0" fontId="2" fillId="0" borderId="48" xfId="0" applyFont="1" applyFill="1" applyBorder="1" applyAlignment="1">
      <alignment horizontal="left" vertical="center"/>
    </xf>
    <xf numFmtId="0" fontId="2" fillId="0" borderId="30" xfId="0" applyFont="1" applyFill="1" applyBorder="1" applyAlignment="1">
      <alignment horizontal="left" vertical="center"/>
    </xf>
    <xf numFmtId="0" fontId="2" fillId="0" borderId="31" xfId="0" applyFont="1" applyFill="1" applyBorder="1" applyAlignment="1">
      <alignment horizontal="left" vertical="center"/>
    </xf>
    <xf numFmtId="0" fontId="5" fillId="0" borderId="24" xfId="0" applyFont="1" applyFill="1" applyBorder="1" applyAlignment="1">
      <alignment horizontal="center" vertical="center" shrinkToFit="1"/>
    </xf>
    <xf numFmtId="0" fontId="5" fillId="0" borderId="23" xfId="0" applyFont="1" applyFill="1" applyBorder="1" applyAlignment="1">
      <alignment horizontal="center" vertical="center" shrinkToFit="1"/>
    </xf>
    <xf numFmtId="0" fontId="5" fillId="0" borderId="28" xfId="0" applyFont="1" applyFill="1" applyBorder="1" applyAlignment="1">
      <alignment horizontal="center" vertical="center" shrinkToFit="1"/>
    </xf>
    <xf numFmtId="0" fontId="5" fillId="0" borderId="27" xfId="0" applyFont="1" applyFill="1" applyBorder="1" applyAlignment="1">
      <alignment horizontal="center" vertical="center" shrinkToFit="1"/>
    </xf>
    <xf numFmtId="0" fontId="2" fillId="0" borderId="30" xfId="0" applyFont="1" applyFill="1" applyBorder="1" applyAlignment="1">
      <alignment horizontal="left" vertical="center" shrinkToFit="1"/>
    </xf>
    <xf numFmtId="0" fontId="2" fillId="0" borderId="55" xfId="0" applyFont="1" applyFill="1" applyBorder="1" applyAlignment="1">
      <alignment horizontal="left" vertical="center" shrinkToFit="1"/>
    </xf>
    <xf numFmtId="0" fontId="16" fillId="0" borderId="31" xfId="0" applyFont="1" applyFill="1" applyBorder="1" applyAlignment="1">
      <alignment horizontal="left" vertical="center" shrinkToFit="1"/>
    </xf>
    <xf numFmtId="0" fontId="16" fillId="0" borderId="32" xfId="0" applyFont="1" applyFill="1" applyBorder="1" applyAlignment="1">
      <alignment horizontal="left" vertical="center" shrinkToFit="1"/>
    </xf>
    <xf numFmtId="164" fontId="16" fillId="0" borderId="31" xfId="0" applyNumberFormat="1" applyFont="1" applyFill="1" applyBorder="1" applyAlignment="1">
      <alignment horizontal="left" vertical="center" shrinkToFit="1"/>
    </xf>
    <xf numFmtId="164" fontId="16" fillId="0" borderId="55" xfId="0" applyNumberFormat="1" applyFont="1" applyFill="1" applyBorder="1" applyAlignment="1">
      <alignment horizontal="left" vertical="center" shrinkToFit="1"/>
    </xf>
    <xf numFmtId="0" fontId="4" fillId="0" borderId="21" xfId="0" applyFont="1" applyFill="1" applyBorder="1" applyAlignment="1">
      <alignment horizontal="left" vertical="top"/>
    </xf>
    <xf numFmtId="0" fontId="4" fillId="0" borderId="22" xfId="0" applyFont="1" applyFill="1" applyBorder="1" applyAlignment="1">
      <alignment horizontal="left" vertical="top"/>
    </xf>
    <xf numFmtId="0" fontId="4" fillId="0" borderId="23" xfId="0" applyFont="1" applyFill="1" applyBorder="1" applyAlignment="1">
      <alignment horizontal="left" vertical="top"/>
    </xf>
    <xf numFmtId="0" fontId="16" fillId="0" borderId="48" xfId="0" applyFont="1" applyFill="1" applyBorder="1" applyAlignment="1">
      <alignment horizontal="left" vertical="center" shrinkToFit="1"/>
    </xf>
    <xf numFmtId="0" fontId="16" fillId="0" borderId="49" xfId="0" applyFont="1" applyFill="1" applyBorder="1" applyAlignment="1">
      <alignment horizontal="left" vertical="center" shrinkToFit="1"/>
    </xf>
    <xf numFmtId="0" fontId="10" fillId="0" borderId="35" xfId="0" applyFont="1" applyFill="1" applyBorder="1" applyAlignment="1">
      <alignment horizontal="left" vertical="center" shrinkToFit="1"/>
    </xf>
    <xf numFmtId="0" fontId="1" fillId="0" borderId="36" xfId="0" applyFont="1" applyFill="1" applyBorder="1" applyAlignment="1">
      <alignment horizontal="left" vertical="center"/>
    </xf>
    <xf numFmtId="0" fontId="1" fillId="0" borderId="5" xfId="0" applyFont="1" applyFill="1" applyBorder="1" applyAlignment="1">
      <alignment horizontal="left" vertical="center"/>
    </xf>
    <xf numFmtId="0" fontId="1" fillId="0" borderId="27" xfId="0" applyFont="1" applyFill="1" applyBorder="1" applyAlignment="1">
      <alignment horizontal="left" vertical="center"/>
    </xf>
    <xf numFmtId="0" fontId="1" fillId="0" borderId="34" xfId="0" applyFont="1" applyFill="1" applyBorder="1" applyAlignment="1">
      <alignment vertical="top" shrinkToFit="1"/>
    </xf>
    <xf numFmtId="0" fontId="1" fillId="0" borderId="0" xfId="0" applyFont="1" applyFill="1" applyBorder="1" applyAlignment="1">
      <alignment vertical="top" shrinkToFit="1"/>
    </xf>
    <xf numFmtId="0" fontId="1" fillId="0" borderId="38" xfId="0" applyFont="1" applyFill="1" applyBorder="1" applyAlignment="1">
      <alignment vertical="top" shrinkToFit="1"/>
    </xf>
    <xf numFmtId="0" fontId="1" fillId="0" borderId="4" xfId="0" applyFont="1" applyFill="1" applyBorder="1" applyAlignment="1">
      <alignment vertical="top" shrinkToFit="1"/>
    </xf>
    <xf numFmtId="0" fontId="1" fillId="0" borderId="5" xfId="0" applyFont="1" applyFill="1" applyBorder="1" applyAlignment="1">
      <alignment vertical="top" shrinkToFit="1"/>
    </xf>
    <xf numFmtId="0" fontId="1" fillId="0" borderId="27" xfId="0" applyFont="1" applyFill="1" applyBorder="1" applyAlignment="1">
      <alignment vertical="top" shrinkToFit="1"/>
    </xf>
    <xf numFmtId="0" fontId="4" fillId="0" borderId="13" xfId="0" applyFont="1" applyFill="1" applyBorder="1" applyAlignment="1">
      <alignment horizontal="left"/>
    </xf>
    <xf numFmtId="0" fontId="4" fillId="0" borderId="36" xfId="0" applyFont="1" applyFill="1" applyBorder="1" applyAlignment="1">
      <alignment horizontal="left"/>
    </xf>
    <xf numFmtId="0" fontId="4" fillId="0" borderId="35" xfId="0" applyFont="1" applyFill="1" applyBorder="1" applyAlignment="1">
      <alignment horizontal="left"/>
    </xf>
    <xf numFmtId="0" fontId="4" fillId="0" borderId="37" xfId="0" applyFont="1" applyFill="1" applyBorder="1" applyAlignment="1">
      <alignment horizontal="left"/>
    </xf>
    <xf numFmtId="0" fontId="4" fillId="0" borderId="54" xfId="0" applyFont="1" applyFill="1" applyBorder="1" applyAlignment="1">
      <alignment horizontal="left"/>
    </xf>
    <xf numFmtId="0" fontId="1" fillId="0" borderId="20" xfId="0" applyFont="1" applyFill="1" applyBorder="1" applyAlignment="1">
      <alignment vertical="top" shrinkToFit="1"/>
    </xf>
    <xf numFmtId="0" fontId="1" fillId="0" borderId="6" xfId="0" applyFont="1" applyFill="1" applyBorder="1" applyAlignment="1">
      <alignment vertical="top" shrinkToFit="1"/>
    </xf>
    <xf numFmtId="0" fontId="1" fillId="0" borderId="7" xfId="0" applyFont="1" applyFill="1" applyBorder="1" applyAlignment="1">
      <alignment horizontal="center" vertical="center" shrinkToFit="1"/>
    </xf>
    <xf numFmtId="0" fontId="1" fillId="0" borderId="8" xfId="0" applyFont="1" applyFill="1" applyBorder="1" applyAlignment="1">
      <alignment horizontal="center" vertical="center" shrinkToFit="1"/>
    </xf>
    <xf numFmtId="0" fontId="1" fillId="0" borderId="13" xfId="0" applyFont="1" applyFill="1" applyBorder="1" applyAlignment="1">
      <alignment horizontal="left" vertical="center" shrinkToFit="1"/>
    </xf>
    <xf numFmtId="0" fontId="1" fillId="0" borderId="35" xfId="0" applyFont="1" applyFill="1" applyBorder="1" applyAlignment="1">
      <alignment horizontal="left" vertical="center" shrinkToFit="1"/>
    </xf>
    <xf numFmtId="0" fontId="1" fillId="0" borderId="36" xfId="0" applyFont="1" applyFill="1" applyBorder="1" applyAlignment="1">
      <alignment horizontal="left" vertical="center" shrinkToFit="1"/>
    </xf>
    <xf numFmtId="0" fontId="1" fillId="0" borderId="4" xfId="0" applyFont="1" applyFill="1" applyBorder="1" applyAlignment="1">
      <alignment horizontal="left" vertical="center" shrinkToFit="1"/>
    </xf>
    <xf numFmtId="0" fontId="1" fillId="0" borderId="5" xfId="0" applyFont="1" applyFill="1" applyBorder="1" applyAlignment="1">
      <alignment horizontal="left" vertical="center" shrinkToFit="1"/>
    </xf>
    <xf numFmtId="0" fontId="1" fillId="0" borderId="27" xfId="0" applyFont="1" applyFill="1" applyBorder="1" applyAlignment="1">
      <alignment horizontal="left" vertical="center" shrinkToFit="1"/>
    </xf>
    <xf numFmtId="0" fontId="6" fillId="0" borderId="4" xfId="0" applyFont="1" applyFill="1" applyBorder="1" applyAlignment="1">
      <alignment shrinkToFit="1"/>
    </xf>
    <xf numFmtId="0" fontId="6" fillId="0" borderId="5" xfId="0" applyFont="1" applyFill="1" applyBorder="1" applyAlignment="1">
      <alignment shrinkToFit="1"/>
    </xf>
    <xf numFmtId="0" fontId="6" fillId="0" borderId="6" xfId="0" applyFont="1" applyFill="1" applyBorder="1" applyAlignment="1">
      <alignment shrinkToFit="1"/>
    </xf>
    <xf numFmtId="0" fontId="14" fillId="0" borderId="31" xfId="0" applyFont="1" applyFill="1" applyBorder="1" applyAlignment="1">
      <alignment horizontal="center" vertical="center" shrinkToFit="1"/>
    </xf>
    <xf numFmtId="0" fontId="14" fillId="0" borderId="32" xfId="0" applyFont="1" applyFill="1" applyBorder="1" applyAlignment="1">
      <alignment horizontal="center" vertical="center" shrinkToFit="1"/>
    </xf>
    <xf numFmtId="0" fontId="2" fillId="0" borderId="34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0" borderId="56" xfId="0" applyFont="1" applyFill="1" applyBorder="1" applyAlignment="1">
      <alignment horizontal="center" vertical="center" wrapText="1"/>
    </xf>
    <xf numFmtId="0" fontId="2" fillId="0" borderId="57" xfId="0" applyFont="1" applyFill="1" applyBorder="1" applyAlignment="1">
      <alignment horizontal="center" vertical="center" wrapText="1"/>
    </xf>
    <xf numFmtId="0" fontId="10" fillId="0" borderId="34" xfId="0" applyFont="1" applyFill="1" applyBorder="1" applyAlignment="1">
      <alignment horizontal="left" vertical="center" shrinkToFit="1"/>
    </xf>
    <xf numFmtId="0" fontId="10" fillId="0" borderId="0" xfId="0" applyFont="1" applyFill="1" applyBorder="1" applyAlignment="1">
      <alignment horizontal="left" vertical="center" shrinkToFit="1"/>
    </xf>
    <xf numFmtId="0" fontId="10" fillId="0" borderId="38" xfId="0" applyFont="1" applyFill="1" applyBorder="1" applyAlignment="1">
      <alignment horizontal="left" vertical="center" shrinkToFit="1"/>
    </xf>
    <xf numFmtId="0" fontId="10" fillId="0" borderId="4" xfId="0" applyFont="1" applyFill="1" applyBorder="1" applyAlignment="1">
      <alignment horizontal="left" vertical="center" shrinkToFit="1"/>
    </xf>
    <xf numFmtId="0" fontId="10" fillId="0" borderId="5" xfId="0" applyFont="1" applyFill="1" applyBorder="1" applyAlignment="1">
      <alignment horizontal="left" vertical="center" shrinkToFit="1"/>
    </xf>
    <xf numFmtId="0" fontId="10" fillId="0" borderId="27" xfId="0" applyFont="1" applyFill="1" applyBorder="1" applyAlignment="1">
      <alignment horizontal="left" vertical="center" shrinkToFit="1"/>
    </xf>
    <xf numFmtId="167" fontId="16" fillId="0" borderId="31" xfId="0" applyNumberFormat="1" applyFont="1" applyFill="1" applyBorder="1" applyAlignment="1">
      <alignment horizontal="left" vertical="center" shrinkToFit="1"/>
    </xf>
    <xf numFmtId="167" fontId="16" fillId="0" borderId="32" xfId="0" applyNumberFormat="1" applyFont="1" applyFill="1" applyBorder="1" applyAlignment="1">
      <alignment horizontal="left" vertical="center" shrinkToFit="1"/>
    </xf>
    <xf numFmtId="166" fontId="16" fillId="0" borderId="31" xfId="0" applyNumberFormat="1" applyFont="1" applyFill="1" applyBorder="1" applyAlignment="1">
      <alignment horizontal="left" vertical="center" shrinkToFit="1"/>
    </xf>
    <xf numFmtId="166" fontId="16" fillId="0" borderId="55" xfId="0" applyNumberFormat="1" applyFont="1" applyFill="1" applyBorder="1" applyAlignment="1">
      <alignment horizontal="left" vertical="center" shrinkToFit="1"/>
    </xf>
    <xf numFmtId="0" fontId="16" fillId="0" borderId="59" xfId="0" applyFont="1" applyFill="1" applyBorder="1" applyAlignment="1">
      <alignment horizontal="left" vertical="center" shrinkToFit="1"/>
    </xf>
    <xf numFmtId="165" fontId="16" fillId="0" borderId="31" xfId="0" applyNumberFormat="1" applyFont="1" applyFill="1" applyBorder="1" applyAlignment="1">
      <alignment horizontal="left" vertical="center" shrinkToFit="1"/>
    </xf>
    <xf numFmtId="165" fontId="16" fillId="0" borderId="55" xfId="0" applyNumberFormat="1" applyFont="1" applyFill="1" applyBorder="1" applyAlignment="1">
      <alignment horizontal="left" vertical="center" shrinkToFit="1"/>
    </xf>
    <xf numFmtId="164" fontId="16" fillId="0" borderId="32" xfId="0" applyNumberFormat="1" applyFont="1" applyFill="1" applyBorder="1" applyAlignment="1">
      <alignment horizontal="left" vertical="center" shrinkToFit="1"/>
    </xf>
    <xf numFmtId="0" fontId="15" fillId="0" borderId="39" xfId="0" applyFont="1" applyFill="1" applyBorder="1" applyAlignment="1">
      <alignment horizontal="center" vertical="center" shrinkToFit="1"/>
    </xf>
    <xf numFmtId="0" fontId="15" fillId="0" borderId="0" xfId="0" applyFont="1" applyFill="1" applyBorder="1" applyAlignment="1">
      <alignment horizontal="center" vertical="center" shrinkToFit="1"/>
    </xf>
    <xf numFmtId="0" fontId="15" fillId="0" borderId="20" xfId="0" applyFont="1" applyFill="1" applyBorder="1" applyAlignment="1">
      <alignment horizontal="center" vertical="center" shrinkToFit="1"/>
    </xf>
    <xf numFmtId="0" fontId="15" fillId="0" borderId="28" xfId="0" applyFont="1" applyFill="1" applyBorder="1" applyAlignment="1">
      <alignment horizontal="center" vertical="center" shrinkToFit="1"/>
    </xf>
    <xf numFmtId="0" fontId="15" fillId="0" borderId="5" xfId="0" applyFont="1" applyFill="1" applyBorder="1" applyAlignment="1">
      <alignment horizontal="center" vertical="center" shrinkToFit="1"/>
    </xf>
    <xf numFmtId="0" fontId="15" fillId="0" borderId="6" xfId="0" applyFont="1" applyFill="1" applyBorder="1" applyAlignment="1">
      <alignment horizontal="center" vertical="center" shrinkToFit="1"/>
    </xf>
    <xf numFmtId="0" fontId="1" fillId="0" borderId="0" xfId="0" applyFont="1" applyFill="1" applyBorder="1" applyAlignment="1">
      <alignment horizontal="center" vertical="center" wrapText="1"/>
    </xf>
    <xf numFmtId="0" fontId="8" fillId="0" borderId="30" xfId="0" applyFont="1" applyFill="1" applyBorder="1" applyAlignment="1">
      <alignment horizontal="center" vertical="center" shrinkToFit="1"/>
    </xf>
    <xf numFmtId="0" fontId="8" fillId="0" borderId="31" xfId="0" applyFont="1" applyFill="1" applyBorder="1" applyAlignment="1">
      <alignment horizontal="center" vertical="center" shrinkToFit="1"/>
    </xf>
    <xf numFmtId="0" fontId="8" fillId="0" borderId="32" xfId="0" applyFont="1" applyFill="1" applyBorder="1" applyAlignment="1">
      <alignment horizontal="center" vertical="center" shrinkToFit="1"/>
    </xf>
    <xf numFmtId="0" fontId="4" fillId="0" borderId="21" xfId="0" applyFont="1" applyFill="1" applyBorder="1" applyAlignment="1">
      <alignment horizontal="left"/>
    </xf>
    <xf numFmtId="0" fontId="4" fillId="0" borderId="22" xfId="0" applyFont="1" applyFill="1" applyBorder="1" applyAlignment="1">
      <alignment horizontal="left"/>
    </xf>
    <xf numFmtId="0" fontId="4" fillId="0" borderId="26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center"/>
    </xf>
    <xf numFmtId="0" fontId="10" fillId="0" borderId="31" xfId="0" applyFont="1" applyFill="1" applyBorder="1" applyAlignment="1">
      <alignment horizontal="left" vertical="center" shrinkToFit="1"/>
    </xf>
    <xf numFmtId="0" fontId="10" fillId="0" borderId="32" xfId="0" applyFont="1" applyFill="1" applyBorder="1" applyAlignment="1">
      <alignment horizontal="left" vertical="center" shrinkToFit="1"/>
    </xf>
    <xf numFmtId="0" fontId="5" fillId="0" borderId="37" xfId="0" applyFont="1" applyFill="1" applyBorder="1" applyAlignment="1">
      <alignment horizontal="center" vertical="center" shrinkToFit="1"/>
    </xf>
    <xf numFmtId="0" fontId="5" fillId="0" borderId="35" xfId="0" applyFont="1" applyFill="1" applyBorder="1" applyAlignment="1">
      <alignment horizontal="center" vertical="center" shrinkToFit="1"/>
    </xf>
    <xf numFmtId="0" fontId="5" fillId="0" borderId="36" xfId="0" applyFont="1" applyFill="1" applyBorder="1" applyAlignment="1">
      <alignment horizontal="center" vertical="center" shrinkToFit="1"/>
    </xf>
    <xf numFmtId="0" fontId="5" fillId="0" borderId="5" xfId="0" applyFont="1" applyFill="1" applyBorder="1" applyAlignment="1">
      <alignment horizontal="center" vertical="center" shrinkToFit="1"/>
    </xf>
    <xf numFmtId="0" fontId="9" fillId="0" borderId="37" xfId="0" applyFont="1" applyFill="1" applyBorder="1" applyAlignment="1">
      <alignment horizontal="center" vertical="center" shrinkToFit="1"/>
    </xf>
    <xf numFmtId="0" fontId="9" fillId="0" borderId="28" xfId="0" applyFont="1" applyFill="1" applyBorder="1" applyAlignment="1">
      <alignment horizontal="center" vertical="center" shrinkToFit="1"/>
    </xf>
    <xf numFmtId="0" fontId="2" fillId="0" borderId="31" xfId="0" applyFont="1" applyFill="1" applyBorder="1" applyAlignment="1">
      <alignment horizontal="center" vertical="center" shrinkToFit="1"/>
    </xf>
    <xf numFmtId="0" fontId="2" fillId="0" borderId="32" xfId="0" applyFont="1" applyFill="1" applyBorder="1" applyAlignment="1">
      <alignment horizontal="center" vertical="center" shrinkToFit="1"/>
    </xf>
    <xf numFmtId="0" fontId="2" fillId="0" borderId="18" xfId="0" applyFont="1" applyBorder="1" applyAlignment="1">
      <alignment horizontal="center" vertical="center"/>
    </xf>
    <xf numFmtId="0" fontId="4" fillId="0" borderId="13" xfId="0" applyFont="1" applyFill="1" applyBorder="1" applyAlignment="1"/>
    <xf numFmtId="0" fontId="4" fillId="0" borderId="35" xfId="0" applyFont="1" applyFill="1" applyBorder="1" applyAlignment="1"/>
    <xf numFmtId="0" fontId="4" fillId="0" borderId="54" xfId="0" applyFont="1" applyFill="1" applyBorder="1" applyAlignment="1"/>
    <xf numFmtId="0" fontId="1" fillId="0" borderId="52" xfId="0" applyFont="1" applyBorder="1" applyAlignment="1">
      <alignment horizontal="center"/>
    </xf>
    <xf numFmtId="0" fontId="2" fillId="0" borderId="19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/>
    </xf>
  </cellXfs>
  <cellStyles count="1"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5</xdr:row>
      <xdr:rowOff>76200</xdr:rowOff>
    </xdr:from>
    <xdr:to>
      <xdr:col>14</xdr:col>
      <xdr:colOff>123825</xdr:colOff>
      <xdr:row>8</xdr:row>
      <xdr:rowOff>76200</xdr:rowOff>
    </xdr:to>
    <xdr:grpSp>
      <xdr:nvGrpSpPr>
        <xdr:cNvPr id="36036" name="Pers_Umlauf"/>
        <xdr:cNvGrpSpPr>
          <a:grpSpLocks/>
        </xdr:cNvGrpSpPr>
      </xdr:nvGrpSpPr>
      <xdr:grpSpPr bwMode="auto">
        <a:xfrm>
          <a:off x="3505200" y="1114425"/>
          <a:ext cx="1905000" cy="771525"/>
          <a:chOff x="366" y="134"/>
          <a:chExt cx="214" cy="92"/>
        </a:xfrm>
      </xdr:grpSpPr>
      <xdr:sp macro="" textlink="">
        <xdr:nvSpPr>
          <xdr:cNvPr id="36060" name="Freeform 4"/>
          <xdr:cNvSpPr>
            <a:spLocks/>
          </xdr:cNvSpPr>
        </xdr:nvSpPr>
        <xdr:spPr bwMode="auto">
          <a:xfrm>
            <a:off x="405" y="134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6061" name="Freeform 5"/>
          <xdr:cNvSpPr>
            <a:spLocks/>
          </xdr:cNvSpPr>
        </xdr:nvSpPr>
        <xdr:spPr bwMode="auto">
          <a:xfrm rot="10800000">
            <a:off x="366" y="135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 editAs="oneCell">
    <xdr:from>
      <xdr:col>23</xdr:col>
      <xdr:colOff>161925</xdr:colOff>
      <xdr:row>10</xdr:row>
      <xdr:rowOff>38100</xdr:rowOff>
    </xdr:from>
    <xdr:to>
      <xdr:col>23</xdr:col>
      <xdr:colOff>428625</xdr:colOff>
      <xdr:row>11</xdr:row>
      <xdr:rowOff>142875</xdr:rowOff>
    </xdr:to>
    <xdr:pic>
      <xdr:nvPicPr>
        <xdr:cNvPr id="36037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21907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14</xdr:row>
      <xdr:rowOff>47625</xdr:rowOff>
    </xdr:from>
    <xdr:to>
      <xdr:col>29</xdr:col>
      <xdr:colOff>457200</xdr:colOff>
      <xdr:row>15</xdr:row>
      <xdr:rowOff>152400</xdr:rowOff>
    </xdr:to>
    <xdr:pic>
      <xdr:nvPicPr>
        <xdr:cNvPr id="36038" name="Obrázok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886075"/>
          <a:ext cx="285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16</xdr:row>
      <xdr:rowOff>76200</xdr:rowOff>
    </xdr:from>
    <xdr:to>
      <xdr:col>29</xdr:col>
      <xdr:colOff>457200</xdr:colOff>
      <xdr:row>17</xdr:row>
      <xdr:rowOff>95250</xdr:rowOff>
    </xdr:to>
    <xdr:pic>
      <xdr:nvPicPr>
        <xdr:cNvPr id="36039" name="Obrázok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3257550"/>
          <a:ext cx="285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123825</xdr:colOff>
      <xdr:row>16</xdr:row>
      <xdr:rowOff>47625</xdr:rowOff>
    </xdr:from>
    <xdr:to>
      <xdr:col>32</xdr:col>
      <xdr:colOff>314325</xdr:colOff>
      <xdr:row>17</xdr:row>
      <xdr:rowOff>133350</xdr:rowOff>
    </xdr:to>
    <xdr:pic>
      <xdr:nvPicPr>
        <xdr:cNvPr id="36040" name="Obrázok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6625" y="3228975"/>
          <a:ext cx="190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14</xdr:row>
      <xdr:rowOff>38100</xdr:rowOff>
    </xdr:from>
    <xdr:to>
      <xdr:col>23</xdr:col>
      <xdr:colOff>542925</xdr:colOff>
      <xdr:row>15</xdr:row>
      <xdr:rowOff>133350</xdr:rowOff>
    </xdr:to>
    <xdr:pic>
      <xdr:nvPicPr>
        <xdr:cNvPr id="36041" name="Obrázok 1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0" y="2876550"/>
          <a:ext cx="4762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12</xdr:row>
      <xdr:rowOff>28575</xdr:rowOff>
    </xdr:from>
    <xdr:to>
      <xdr:col>29</xdr:col>
      <xdr:colOff>409575</xdr:colOff>
      <xdr:row>13</xdr:row>
      <xdr:rowOff>152400</xdr:rowOff>
    </xdr:to>
    <xdr:pic>
      <xdr:nvPicPr>
        <xdr:cNvPr id="36042" name="Obrázok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524125"/>
          <a:ext cx="2381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8</xdr:row>
      <xdr:rowOff>66675</xdr:rowOff>
    </xdr:from>
    <xdr:to>
      <xdr:col>26</xdr:col>
      <xdr:colOff>485775</xdr:colOff>
      <xdr:row>9</xdr:row>
      <xdr:rowOff>85725</xdr:rowOff>
    </xdr:to>
    <xdr:pic>
      <xdr:nvPicPr>
        <xdr:cNvPr id="36043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0825" y="18764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14</xdr:row>
      <xdr:rowOff>38100</xdr:rowOff>
    </xdr:from>
    <xdr:to>
      <xdr:col>26</xdr:col>
      <xdr:colOff>409575</xdr:colOff>
      <xdr:row>15</xdr:row>
      <xdr:rowOff>152400</xdr:rowOff>
    </xdr:to>
    <xdr:pic>
      <xdr:nvPicPr>
        <xdr:cNvPr id="36044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12</xdr:row>
      <xdr:rowOff>28575</xdr:rowOff>
    </xdr:from>
    <xdr:to>
      <xdr:col>26</xdr:col>
      <xdr:colOff>485775</xdr:colOff>
      <xdr:row>13</xdr:row>
      <xdr:rowOff>142875</xdr:rowOff>
    </xdr:to>
    <xdr:pic>
      <xdr:nvPicPr>
        <xdr:cNvPr id="36045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276225</xdr:colOff>
      <xdr:row>10</xdr:row>
      <xdr:rowOff>95250</xdr:rowOff>
    </xdr:from>
    <xdr:to>
      <xdr:col>26</xdr:col>
      <xdr:colOff>447675</xdr:colOff>
      <xdr:row>11</xdr:row>
      <xdr:rowOff>114300</xdr:rowOff>
    </xdr:to>
    <xdr:pic>
      <xdr:nvPicPr>
        <xdr:cNvPr id="36046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5" y="22479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161925</xdr:colOff>
      <xdr:row>8</xdr:row>
      <xdr:rowOff>133350</xdr:rowOff>
    </xdr:from>
    <xdr:to>
      <xdr:col>29</xdr:col>
      <xdr:colOff>476250</xdr:colOff>
      <xdr:row>9</xdr:row>
      <xdr:rowOff>95250</xdr:rowOff>
    </xdr:to>
    <xdr:pic>
      <xdr:nvPicPr>
        <xdr:cNvPr id="36047" name="Obrázok 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8725" y="1943100"/>
          <a:ext cx="3143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10</xdr:row>
      <xdr:rowOff>47625</xdr:rowOff>
    </xdr:from>
    <xdr:to>
      <xdr:col>29</xdr:col>
      <xdr:colOff>457200</xdr:colOff>
      <xdr:row>11</xdr:row>
      <xdr:rowOff>133350</xdr:rowOff>
    </xdr:to>
    <xdr:pic>
      <xdr:nvPicPr>
        <xdr:cNvPr id="36048" name="Obrázok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2002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190500</xdr:colOff>
      <xdr:row>18</xdr:row>
      <xdr:rowOff>38100</xdr:rowOff>
    </xdr:from>
    <xdr:to>
      <xdr:col>26</xdr:col>
      <xdr:colOff>476250</xdr:colOff>
      <xdr:row>19</xdr:row>
      <xdr:rowOff>228600</xdr:rowOff>
    </xdr:to>
    <xdr:pic>
      <xdr:nvPicPr>
        <xdr:cNvPr id="36049" name="Obrázok 2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3581400"/>
          <a:ext cx="2857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171450</xdr:colOff>
      <xdr:row>16</xdr:row>
      <xdr:rowOff>66675</xdr:rowOff>
    </xdr:from>
    <xdr:to>
      <xdr:col>26</xdr:col>
      <xdr:colOff>457200</xdr:colOff>
      <xdr:row>17</xdr:row>
      <xdr:rowOff>104775</xdr:rowOff>
    </xdr:to>
    <xdr:pic>
      <xdr:nvPicPr>
        <xdr:cNvPr id="36050" name="Obrázok 20639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3248025"/>
          <a:ext cx="2857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152400</xdr:colOff>
      <xdr:row>18</xdr:row>
      <xdr:rowOff>38100</xdr:rowOff>
    </xdr:from>
    <xdr:to>
      <xdr:col>29</xdr:col>
      <xdr:colOff>466725</xdr:colOff>
      <xdr:row>19</xdr:row>
      <xdr:rowOff>200025</xdr:rowOff>
    </xdr:to>
    <xdr:pic>
      <xdr:nvPicPr>
        <xdr:cNvPr id="36051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358140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171450</xdr:colOff>
      <xdr:row>12</xdr:row>
      <xdr:rowOff>38100</xdr:rowOff>
    </xdr:from>
    <xdr:to>
      <xdr:col>23</xdr:col>
      <xdr:colOff>447675</xdr:colOff>
      <xdr:row>13</xdr:row>
      <xdr:rowOff>152400</xdr:rowOff>
    </xdr:to>
    <xdr:pic>
      <xdr:nvPicPr>
        <xdr:cNvPr id="36052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6275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142875</xdr:colOff>
      <xdr:row>8</xdr:row>
      <xdr:rowOff>38100</xdr:rowOff>
    </xdr:from>
    <xdr:to>
      <xdr:col>23</xdr:col>
      <xdr:colOff>419100</xdr:colOff>
      <xdr:row>9</xdr:row>
      <xdr:rowOff>152400</xdr:rowOff>
    </xdr:to>
    <xdr:pic>
      <xdr:nvPicPr>
        <xdr:cNvPr id="36053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16</xdr:row>
      <xdr:rowOff>47625</xdr:rowOff>
    </xdr:from>
    <xdr:to>
      <xdr:col>23</xdr:col>
      <xdr:colOff>447675</xdr:colOff>
      <xdr:row>17</xdr:row>
      <xdr:rowOff>114300</xdr:rowOff>
    </xdr:to>
    <xdr:pic>
      <xdr:nvPicPr>
        <xdr:cNvPr id="36054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18</xdr:row>
      <xdr:rowOff>38100</xdr:rowOff>
    </xdr:from>
    <xdr:to>
      <xdr:col>23</xdr:col>
      <xdr:colOff>438150</xdr:colOff>
      <xdr:row>19</xdr:row>
      <xdr:rowOff>219075</xdr:rowOff>
    </xdr:to>
    <xdr:pic>
      <xdr:nvPicPr>
        <xdr:cNvPr id="36055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58140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47625</xdr:colOff>
      <xdr:row>8</xdr:row>
      <xdr:rowOff>38100</xdr:rowOff>
    </xdr:from>
    <xdr:to>
      <xdr:col>7</xdr:col>
      <xdr:colOff>323850</xdr:colOff>
      <xdr:row>9</xdr:row>
      <xdr:rowOff>152400</xdr:rowOff>
    </xdr:to>
    <xdr:pic>
      <xdr:nvPicPr>
        <xdr:cNvPr id="36056" name="Obrázok 43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4625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8</xdr:row>
      <xdr:rowOff>38100</xdr:rowOff>
    </xdr:from>
    <xdr:to>
      <xdr:col>20</xdr:col>
      <xdr:colOff>304800</xdr:colOff>
      <xdr:row>9</xdr:row>
      <xdr:rowOff>152400</xdr:rowOff>
    </xdr:to>
    <xdr:pic>
      <xdr:nvPicPr>
        <xdr:cNvPr id="36057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57150</xdr:colOff>
      <xdr:row>22</xdr:row>
      <xdr:rowOff>113823</xdr:rowOff>
    </xdr:from>
    <xdr:to>
      <xdr:col>15</xdr:col>
      <xdr:colOff>9524</xdr:colOff>
      <xdr:row>26</xdr:row>
      <xdr:rowOff>13334</xdr:rowOff>
    </xdr:to>
    <xdr:pic>
      <xdr:nvPicPr>
        <xdr:cNvPr id="2" name="Obrázek 1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4314348"/>
          <a:ext cx="4933949" cy="1356836"/>
        </a:xfrm>
        <a:prstGeom prst="rect">
          <a:avLst/>
        </a:prstGeom>
      </xdr:spPr>
    </xdr:pic>
    <xdr:clientData/>
  </xdr:twoCellAnchor>
  <xdr:twoCellAnchor editAs="oneCell">
    <xdr:from>
      <xdr:col>17</xdr:col>
      <xdr:colOff>72735</xdr:colOff>
      <xdr:row>6</xdr:row>
      <xdr:rowOff>209549</xdr:rowOff>
    </xdr:from>
    <xdr:to>
      <xdr:col>20</xdr:col>
      <xdr:colOff>271894</xdr:colOff>
      <xdr:row>6</xdr:row>
      <xdr:rowOff>447674</xdr:rowOff>
    </xdr:to>
    <xdr:pic>
      <xdr:nvPicPr>
        <xdr:cNvPr id="29" name="Obrázek 28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2960" y="1352549"/>
          <a:ext cx="865909" cy="238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5"/>
  <dimension ref="A1:AF37"/>
  <sheetViews>
    <sheetView showGridLines="0" showZeros="0" tabSelected="1" view="pageBreakPreview" zoomScaleNormal="120" zoomScaleSheetLayoutView="100" workbookViewId="0"/>
  </sheetViews>
  <sheetFormatPr defaultColWidth="11.42578125" defaultRowHeight="12.75" x14ac:dyDescent="0.2"/>
  <cols>
    <col min="1" max="1" width="7.42578125" style="5" customWidth="1"/>
    <col min="2" max="3" width="5.5703125" style="39" customWidth="1"/>
    <col min="4" max="5" width="5.140625" style="39" customWidth="1"/>
    <col min="6" max="7" width="5.5703125" style="39" customWidth="1"/>
    <col min="8" max="9" width="5.140625" style="39" customWidth="1"/>
    <col min="10" max="10" width="1" style="39" customWidth="1"/>
    <col min="11" max="11" width="2.85546875" style="39" customWidth="1"/>
    <col min="12" max="12" width="7.42578125" style="39" customWidth="1"/>
    <col min="13" max="13" width="10.28515625" style="39" customWidth="1"/>
    <col min="14" max="14" width="7.42578125" style="39" customWidth="1"/>
    <col min="15" max="15" width="2.85546875" style="39" customWidth="1"/>
    <col min="16" max="16" width="1" style="39" customWidth="1"/>
    <col min="17" max="17" width="1" style="5" customWidth="1"/>
    <col min="18" max="18" width="2.42578125" style="5" customWidth="1"/>
    <col min="19" max="19" width="5.140625" style="5" customWidth="1"/>
    <col min="20" max="20" width="2.42578125" style="5" customWidth="1"/>
    <col min="21" max="21" width="5.140625" style="5" customWidth="1"/>
    <col min="22" max="23" width="11.28515625" style="5" customWidth="1"/>
    <col min="24" max="24" width="8.7109375" style="5" customWidth="1"/>
    <col min="25" max="26" width="11.28515625" style="5" customWidth="1"/>
    <col min="27" max="16384" width="11.42578125" style="5"/>
  </cols>
  <sheetData>
    <row r="1" spans="1:32" ht="8.85" customHeight="1" thickTop="1" x14ac:dyDescent="0.2">
      <c r="A1" s="1"/>
      <c r="B1" s="121" t="s">
        <v>51</v>
      </c>
      <c r="C1" s="122"/>
      <c r="D1" s="122"/>
      <c r="E1" s="122"/>
      <c r="F1" s="122"/>
      <c r="G1" s="123"/>
      <c r="H1" s="111" t="s">
        <v>77</v>
      </c>
      <c r="I1" s="112"/>
      <c r="J1" s="2"/>
      <c r="K1" s="3"/>
      <c r="L1" s="3"/>
      <c r="M1" s="3"/>
      <c r="N1" s="3"/>
      <c r="O1" s="3"/>
      <c r="P1" s="4"/>
      <c r="R1" s="6"/>
      <c r="S1" s="7"/>
      <c r="T1" s="7"/>
      <c r="U1" s="8"/>
    </row>
    <row r="2" spans="1:32" ht="29.85" customHeight="1" x14ac:dyDescent="0.2">
      <c r="A2" s="1"/>
      <c r="B2" s="9" t="s">
        <v>75</v>
      </c>
      <c r="C2" s="94" t="s">
        <v>76</v>
      </c>
      <c r="D2" s="94"/>
      <c r="E2" s="94"/>
      <c r="F2" s="94"/>
      <c r="G2" s="95"/>
      <c r="H2" s="113"/>
      <c r="I2" s="114"/>
      <c r="J2" s="10"/>
      <c r="K2" s="181"/>
      <c r="L2" s="182"/>
      <c r="M2" s="182"/>
      <c r="N2" s="182"/>
      <c r="O2" s="183"/>
      <c r="P2" s="11"/>
      <c r="R2" s="73" t="str">
        <f>C2</f>
        <v>840 010-3</v>
      </c>
      <c r="S2" s="74"/>
      <c r="T2" s="74"/>
      <c r="U2" s="75"/>
    </row>
    <row r="3" spans="1:32" ht="10.15" customHeight="1" x14ac:dyDescent="0.2">
      <c r="A3" s="1"/>
      <c r="B3" s="136" t="s">
        <v>13</v>
      </c>
      <c r="C3" s="138"/>
      <c r="D3" s="138"/>
      <c r="E3" s="137"/>
      <c r="F3" s="194" t="s">
        <v>75</v>
      </c>
      <c r="G3" s="126" t="s">
        <v>76</v>
      </c>
      <c r="H3" s="126"/>
      <c r="I3" s="127"/>
      <c r="J3" s="10"/>
      <c r="K3" s="12"/>
      <c r="L3" s="13"/>
      <c r="M3" s="13"/>
      <c r="N3" s="13"/>
      <c r="O3" s="14"/>
      <c r="P3" s="11"/>
      <c r="R3" s="73" t="str">
        <f>H1</f>
        <v>ČD</v>
      </c>
      <c r="S3" s="74"/>
      <c r="T3" s="74"/>
      <c r="U3" s="75"/>
    </row>
    <row r="4" spans="1:32" ht="12.6" customHeight="1" x14ac:dyDescent="0.2">
      <c r="A4" s="1"/>
      <c r="B4" s="160" t="s">
        <v>58</v>
      </c>
      <c r="C4" s="161"/>
      <c r="D4" s="161"/>
      <c r="E4" s="162"/>
      <c r="F4" s="195"/>
      <c r="G4" s="128"/>
      <c r="H4" s="128"/>
      <c r="I4" s="129"/>
      <c r="J4" s="10"/>
      <c r="K4" s="15"/>
      <c r="L4" s="16"/>
      <c r="M4" s="16"/>
      <c r="N4" s="16"/>
      <c r="O4" s="17"/>
      <c r="P4" s="11"/>
      <c r="R4" s="73"/>
      <c r="S4" s="74"/>
      <c r="T4" s="74"/>
      <c r="U4" s="75"/>
    </row>
    <row r="5" spans="1:32" ht="22.7" customHeight="1" x14ac:dyDescent="0.2">
      <c r="A5" s="1"/>
      <c r="B5" s="163"/>
      <c r="C5" s="164"/>
      <c r="D5" s="164"/>
      <c r="E5" s="165"/>
      <c r="F5" s="18"/>
      <c r="G5" s="188"/>
      <c r="H5" s="188"/>
      <c r="I5" s="189"/>
      <c r="J5" s="10"/>
      <c r="K5" s="15"/>
      <c r="L5" s="16"/>
      <c r="M5" s="16"/>
      <c r="N5" s="16"/>
      <c r="O5" s="17"/>
      <c r="P5" s="11"/>
      <c r="R5" s="76" t="str">
        <f>M30</f>
        <v>HSTAD 8400</v>
      </c>
      <c r="S5" s="77"/>
      <c r="T5" s="77"/>
      <c r="U5" s="78"/>
    </row>
    <row r="6" spans="1:32" ht="8.85" customHeight="1" x14ac:dyDescent="0.2">
      <c r="A6" s="1"/>
      <c r="B6" s="19" t="s">
        <v>52</v>
      </c>
      <c r="C6" s="20"/>
      <c r="D6" s="20"/>
      <c r="E6" s="20"/>
      <c r="F6" s="20"/>
      <c r="G6" s="20"/>
      <c r="H6" s="20"/>
      <c r="I6" s="21"/>
      <c r="J6" s="10"/>
      <c r="K6" s="15"/>
      <c r="L6" s="16"/>
      <c r="M6" s="16"/>
      <c r="N6" s="16"/>
      <c r="O6" s="17"/>
      <c r="P6" s="11"/>
      <c r="R6" s="50"/>
      <c r="S6" s="51"/>
      <c r="T6" s="51"/>
      <c r="U6" s="52"/>
    </row>
    <row r="7" spans="1:32" ht="45.6" customHeight="1" x14ac:dyDescent="0.5">
      <c r="A7" s="1"/>
      <c r="B7" s="53" t="s">
        <v>81</v>
      </c>
      <c r="C7" s="54"/>
      <c r="D7" s="54"/>
      <c r="E7" s="54"/>
      <c r="F7" s="54"/>
      <c r="G7" s="54"/>
      <c r="H7" s="54"/>
      <c r="I7" s="55"/>
      <c r="J7" s="10"/>
      <c r="K7" s="15"/>
      <c r="L7" s="187" t="s">
        <v>68</v>
      </c>
      <c r="M7" s="187"/>
      <c r="N7" s="187"/>
      <c r="O7" s="17"/>
      <c r="P7" s="11"/>
      <c r="R7" s="44">
        <f>D17</f>
        <v>0</v>
      </c>
      <c r="S7" s="45"/>
      <c r="T7" s="45"/>
      <c r="U7" s="46"/>
    </row>
    <row r="8" spans="1:32" ht="8.1" customHeight="1" x14ac:dyDescent="0.2">
      <c r="A8" s="1"/>
      <c r="B8" s="56"/>
      <c r="C8" s="57"/>
      <c r="D8" s="57"/>
      <c r="E8" s="57"/>
      <c r="F8" s="57"/>
      <c r="G8" s="57"/>
      <c r="H8" s="57"/>
      <c r="I8" s="58"/>
      <c r="J8" s="10"/>
      <c r="K8" s="15"/>
      <c r="L8" s="16"/>
      <c r="M8" s="16"/>
      <c r="N8" s="16"/>
      <c r="O8" s="17"/>
      <c r="P8" s="11"/>
      <c r="R8" s="47"/>
      <c r="S8" s="48"/>
      <c r="T8" s="48"/>
      <c r="U8" s="49"/>
    </row>
    <row r="9" spans="1:32" ht="13.7" customHeight="1" x14ac:dyDescent="0.2">
      <c r="A9" s="1"/>
      <c r="B9" s="145" t="s">
        <v>70</v>
      </c>
      <c r="C9" s="146"/>
      <c r="D9" s="146"/>
      <c r="E9" s="147"/>
      <c r="F9" s="98" t="s">
        <v>10</v>
      </c>
      <c r="G9" s="22"/>
      <c r="H9" s="22"/>
      <c r="I9" s="23"/>
      <c r="J9" s="10"/>
      <c r="K9" s="15"/>
      <c r="L9" s="16"/>
      <c r="M9" s="16"/>
      <c r="N9" s="16"/>
      <c r="O9" s="17"/>
      <c r="P9" s="11"/>
      <c r="R9" s="79"/>
      <c r="S9" s="81"/>
      <c r="T9" s="63" t="s">
        <v>10</v>
      </c>
      <c r="U9" s="65"/>
      <c r="W9" s="24"/>
      <c r="X9" s="85"/>
      <c r="Y9" s="67" t="s">
        <v>18</v>
      </c>
      <c r="Z9" s="83" t="s">
        <v>19</v>
      </c>
      <c r="AA9" s="85"/>
      <c r="AB9" s="87" t="s">
        <v>26</v>
      </c>
      <c r="AC9" s="88" t="s">
        <v>29</v>
      </c>
      <c r="AD9" s="90"/>
      <c r="AE9" s="87" t="s">
        <v>36</v>
      </c>
      <c r="AF9" s="88" t="s">
        <v>49</v>
      </c>
    </row>
    <row r="10" spans="1:32" ht="13.7" customHeight="1" x14ac:dyDescent="0.2">
      <c r="A10" s="1"/>
      <c r="B10" s="148"/>
      <c r="C10" s="149"/>
      <c r="D10" s="149"/>
      <c r="E10" s="150"/>
      <c r="F10" s="99"/>
      <c r="G10" s="25"/>
      <c r="H10" s="25"/>
      <c r="I10" s="26"/>
      <c r="J10" s="10"/>
      <c r="K10" s="15"/>
      <c r="L10" s="16"/>
      <c r="M10" s="16"/>
      <c r="N10" s="16"/>
      <c r="O10" s="17"/>
      <c r="P10" s="11"/>
      <c r="R10" s="80"/>
      <c r="S10" s="82"/>
      <c r="T10" s="64"/>
      <c r="U10" s="66"/>
      <c r="X10" s="86"/>
      <c r="Y10" s="68"/>
      <c r="Z10" s="84"/>
      <c r="AA10" s="86"/>
      <c r="AB10" s="87"/>
      <c r="AC10" s="88"/>
      <c r="AD10" s="90"/>
      <c r="AE10" s="87"/>
      <c r="AF10" s="88"/>
    </row>
    <row r="11" spans="1:32" s="28" customFormat="1" ht="13.7" customHeight="1" x14ac:dyDescent="0.2">
      <c r="A11" s="27"/>
      <c r="B11" s="143" t="s">
        <v>8</v>
      </c>
      <c r="C11" s="96"/>
      <c r="D11" s="98" t="s">
        <v>7</v>
      </c>
      <c r="E11" s="96"/>
      <c r="F11" s="98" t="s">
        <v>4</v>
      </c>
      <c r="G11" s="96"/>
      <c r="H11" s="98" t="s">
        <v>2</v>
      </c>
      <c r="I11" s="96"/>
      <c r="J11" s="10"/>
      <c r="K11" s="15"/>
      <c r="L11" s="16"/>
      <c r="M11" s="16"/>
      <c r="N11" s="16"/>
      <c r="O11" s="17"/>
      <c r="P11" s="11"/>
      <c r="R11" s="59" t="s">
        <v>8</v>
      </c>
      <c r="S11" s="61"/>
      <c r="T11" s="63" t="s">
        <v>9</v>
      </c>
      <c r="U11" s="65"/>
      <c r="X11" s="71"/>
      <c r="Y11" s="67" t="s">
        <v>48</v>
      </c>
      <c r="Z11" s="83" t="s">
        <v>47</v>
      </c>
      <c r="AA11" s="71"/>
      <c r="AB11" s="87" t="s">
        <v>27</v>
      </c>
      <c r="AC11" s="88" t="s">
        <v>28</v>
      </c>
      <c r="AD11" s="91"/>
      <c r="AE11" s="87" t="s">
        <v>37</v>
      </c>
      <c r="AF11" s="88" t="s">
        <v>38</v>
      </c>
    </row>
    <row r="12" spans="1:32" s="28" customFormat="1" ht="13.7" customHeight="1" x14ac:dyDescent="0.2">
      <c r="A12" s="27"/>
      <c r="B12" s="144"/>
      <c r="C12" s="97"/>
      <c r="D12" s="99"/>
      <c r="E12" s="97"/>
      <c r="F12" s="99"/>
      <c r="G12" s="97"/>
      <c r="H12" s="99"/>
      <c r="I12" s="97"/>
      <c r="J12" s="10"/>
      <c r="K12" s="15"/>
      <c r="L12" s="16"/>
      <c r="M12" s="16"/>
      <c r="N12" s="16"/>
      <c r="O12" s="17"/>
      <c r="P12" s="11"/>
      <c r="R12" s="60"/>
      <c r="S12" s="62"/>
      <c r="T12" s="64"/>
      <c r="U12" s="66"/>
      <c r="X12" s="72"/>
      <c r="Y12" s="68"/>
      <c r="Z12" s="84"/>
      <c r="AA12" s="72"/>
      <c r="AB12" s="87"/>
      <c r="AC12" s="88"/>
      <c r="AD12" s="91"/>
      <c r="AE12" s="87"/>
      <c r="AF12" s="88"/>
    </row>
    <row r="13" spans="1:32" s="28" customFormat="1" ht="13.7" customHeight="1" x14ac:dyDescent="0.2">
      <c r="A13" s="27"/>
      <c r="B13" s="143" t="s">
        <v>9</v>
      </c>
      <c r="C13" s="103"/>
      <c r="D13" s="98" t="s">
        <v>6</v>
      </c>
      <c r="E13" s="103"/>
      <c r="F13" s="98" t="s">
        <v>5</v>
      </c>
      <c r="G13" s="103"/>
      <c r="H13" s="98" t="s">
        <v>3</v>
      </c>
      <c r="I13" s="103"/>
      <c r="J13" s="10"/>
      <c r="K13" s="15"/>
      <c r="L13" s="16"/>
      <c r="M13" s="16"/>
      <c r="N13" s="16"/>
      <c r="O13" s="17"/>
      <c r="P13" s="11"/>
      <c r="R13" s="59" t="s">
        <v>7</v>
      </c>
      <c r="S13" s="61"/>
      <c r="T13" s="63" t="s">
        <v>6</v>
      </c>
      <c r="U13" s="65"/>
      <c r="X13" s="71"/>
      <c r="Y13" s="67" t="s">
        <v>23</v>
      </c>
      <c r="Z13" s="83" t="s">
        <v>22</v>
      </c>
      <c r="AA13" s="71"/>
      <c r="AB13" s="87" t="s">
        <v>32</v>
      </c>
      <c r="AC13" s="88" t="s">
        <v>30</v>
      </c>
      <c r="AD13" s="91"/>
      <c r="AE13" s="92" t="s">
        <v>40</v>
      </c>
      <c r="AF13" s="88" t="s">
        <v>39</v>
      </c>
    </row>
    <row r="14" spans="1:32" s="28" customFormat="1" ht="13.7" customHeight="1" x14ac:dyDescent="0.2">
      <c r="A14" s="27"/>
      <c r="B14" s="144"/>
      <c r="C14" s="104"/>
      <c r="D14" s="99"/>
      <c r="E14" s="104"/>
      <c r="F14" s="99"/>
      <c r="G14" s="104"/>
      <c r="H14" s="99"/>
      <c r="I14" s="104"/>
      <c r="J14" s="10"/>
      <c r="K14" s="15"/>
      <c r="L14" s="29"/>
      <c r="M14" s="29"/>
      <c r="N14" s="29"/>
      <c r="O14" s="17"/>
      <c r="P14" s="11"/>
      <c r="R14" s="60"/>
      <c r="S14" s="62"/>
      <c r="T14" s="64"/>
      <c r="U14" s="66"/>
      <c r="W14" s="30"/>
      <c r="X14" s="72"/>
      <c r="Y14" s="68"/>
      <c r="Z14" s="84"/>
      <c r="AA14" s="72"/>
      <c r="AB14" s="87"/>
      <c r="AC14" s="88"/>
      <c r="AD14" s="91"/>
      <c r="AE14" s="93"/>
      <c r="AF14" s="88"/>
    </row>
    <row r="15" spans="1:32" s="28" customFormat="1" ht="13.7" customHeight="1" x14ac:dyDescent="0.2">
      <c r="A15" s="27"/>
      <c r="B15" s="143" t="s">
        <v>14</v>
      </c>
      <c r="C15" s="103"/>
      <c r="D15" s="98" t="s">
        <v>15</v>
      </c>
      <c r="E15" s="103"/>
      <c r="F15" s="98" t="s">
        <v>16</v>
      </c>
      <c r="G15" s="103"/>
      <c r="H15" s="98" t="s">
        <v>17</v>
      </c>
      <c r="I15" s="103"/>
      <c r="J15" s="10"/>
      <c r="K15" s="10"/>
      <c r="L15" s="190"/>
      <c r="M15" s="191"/>
      <c r="N15" s="192"/>
      <c r="O15" s="10"/>
      <c r="P15" s="11"/>
      <c r="R15" s="59" t="s">
        <v>4</v>
      </c>
      <c r="S15" s="61"/>
      <c r="T15" s="63" t="s">
        <v>5</v>
      </c>
      <c r="U15" s="65"/>
      <c r="W15" s="30"/>
      <c r="X15" s="69"/>
      <c r="Y15" s="67" t="s">
        <v>54</v>
      </c>
      <c r="Z15" s="83" t="s">
        <v>55</v>
      </c>
      <c r="AA15" s="69"/>
      <c r="AB15" s="87" t="s">
        <v>33</v>
      </c>
      <c r="AC15" s="88" t="s">
        <v>31</v>
      </c>
      <c r="AD15" s="89"/>
      <c r="AE15" s="87" t="s">
        <v>41</v>
      </c>
      <c r="AF15" s="88" t="s">
        <v>42</v>
      </c>
    </row>
    <row r="16" spans="1:32" s="28" customFormat="1" ht="13.7" customHeight="1" x14ac:dyDescent="0.2">
      <c r="A16" s="27"/>
      <c r="B16" s="144"/>
      <c r="C16" s="104"/>
      <c r="D16" s="99"/>
      <c r="E16" s="104"/>
      <c r="F16" s="99"/>
      <c r="G16" s="104"/>
      <c r="H16" s="99"/>
      <c r="I16" s="104"/>
      <c r="J16" s="10"/>
      <c r="K16" s="10"/>
      <c r="L16" s="113"/>
      <c r="M16" s="193"/>
      <c r="N16" s="114"/>
      <c r="O16" s="10"/>
      <c r="P16" s="11"/>
      <c r="R16" s="60"/>
      <c r="S16" s="62"/>
      <c r="T16" s="64"/>
      <c r="U16" s="66"/>
      <c r="X16" s="70"/>
      <c r="Y16" s="68"/>
      <c r="Z16" s="84"/>
      <c r="AA16" s="70"/>
      <c r="AB16" s="87"/>
      <c r="AC16" s="88"/>
      <c r="AD16" s="89"/>
      <c r="AE16" s="87"/>
      <c r="AF16" s="88"/>
    </row>
    <row r="17" spans="1:32" s="28" customFormat="1" ht="15.6" customHeight="1" x14ac:dyDescent="0.2">
      <c r="A17" s="27"/>
      <c r="B17" s="105" t="s">
        <v>11</v>
      </c>
      <c r="C17" s="106"/>
      <c r="D17" s="154"/>
      <c r="E17" s="155"/>
      <c r="F17" s="31" t="s">
        <v>12</v>
      </c>
      <c r="G17" s="196" t="s">
        <v>84</v>
      </c>
      <c r="H17" s="196"/>
      <c r="I17" s="197"/>
      <c r="J17" s="10"/>
      <c r="K17" s="32"/>
      <c r="L17" s="33"/>
      <c r="M17" s="33"/>
      <c r="N17" s="33"/>
      <c r="O17" s="34"/>
      <c r="P17" s="11"/>
      <c r="R17" s="59" t="s">
        <v>2</v>
      </c>
      <c r="S17" s="61"/>
      <c r="T17" s="63" t="s">
        <v>3</v>
      </c>
      <c r="U17" s="65"/>
      <c r="X17" s="69"/>
      <c r="Y17" s="67" t="s">
        <v>20</v>
      </c>
      <c r="Z17" s="83" t="s">
        <v>21</v>
      </c>
      <c r="AA17" s="69"/>
      <c r="AB17" s="87" t="s">
        <v>34</v>
      </c>
      <c r="AC17" s="88" t="s">
        <v>35</v>
      </c>
      <c r="AD17" s="89"/>
      <c r="AE17" s="87" t="s">
        <v>43</v>
      </c>
      <c r="AF17" s="88" t="s">
        <v>44</v>
      </c>
    </row>
    <row r="18" spans="1:32" ht="13.9" customHeight="1" thickBot="1" x14ac:dyDescent="0.25">
      <c r="A18" s="1"/>
      <c r="B18" s="100"/>
      <c r="C18" s="101"/>
      <c r="D18" s="101"/>
      <c r="E18" s="101"/>
      <c r="F18" s="101"/>
      <c r="G18" s="101"/>
      <c r="H18" s="101"/>
      <c r="I18" s="102"/>
      <c r="J18" s="35"/>
      <c r="K18" s="36"/>
      <c r="L18" s="36"/>
      <c r="M18" s="36"/>
      <c r="N18" s="36"/>
      <c r="O18" s="36"/>
      <c r="P18" s="37"/>
      <c r="R18" s="198"/>
      <c r="S18" s="202"/>
      <c r="T18" s="203"/>
      <c r="U18" s="204"/>
      <c r="X18" s="70"/>
      <c r="Y18" s="68"/>
      <c r="Z18" s="84"/>
      <c r="AA18" s="70"/>
      <c r="AB18" s="87"/>
      <c r="AC18" s="88"/>
      <c r="AD18" s="89"/>
      <c r="AE18" s="87"/>
      <c r="AF18" s="88"/>
    </row>
    <row r="19" spans="1:32" ht="8.85" customHeight="1" thickTop="1" x14ac:dyDescent="0.2">
      <c r="A19" s="1"/>
      <c r="B19" s="184" t="s">
        <v>53</v>
      </c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6"/>
      <c r="W19" s="38"/>
      <c r="X19" s="69"/>
      <c r="Y19" s="67" t="s">
        <v>25</v>
      </c>
      <c r="Z19" s="83" t="s">
        <v>24</v>
      </c>
      <c r="AA19" s="69"/>
      <c r="AB19" s="87" t="s">
        <v>34</v>
      </c>
      <c r="AC19" s="88" t="s">
        <v>35</v>
      </c>
      <c r="AD19" s="89"/>
      <c r="AE19" s="87" t="s">
        <v>45</v>
      </c>
      <c r="AF19" s="88" t="s">
        <v>46</v>
      </c>
    </row>
    <row r="20" spans="1:32" ht="21.75" customHeight="1" x14ac:dyDescent="0.3">
      <c r="A20" s="1"/>
      <c r="B20" s="151" t="str">
        <f>CONCATENATE(H1,"   ",C2)</f>
        <v>ČD   840 010-3</v>
      </c>
      <c r="C20" s="152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3"/>
      <c r="S20" s="42" t="s">
        <v>69</v>
      </c>
      <c r="T20" s="43"/>
      <c r="W20" s="38"/>
      <c r="X20" s="70"/>
      <c r="Y20" s="68"/>
      <c r="Z20" s="84"/>
      <c r="AA20" s="70"/>
      <c r="AB20" s="87"/>
      <c r="AC20" s="88"/>
      <c r="AD20" s="89"/>
      <c r="AE20" s="87"/>
      <c r="AF20" s="88"/>
    </row>
    <row r="21" spans="1:32" ht="9.75" customHeight="1" x14ac:dyDescent="0.2">
      <c r="A21" s="1"/>
      <c r="B21" s="199" t="s">
        <v>71</v>
      </c>
      <c r="C21" s="200"/>
      <c r="D21" s="200"/>
      <c r="E21" s="200"/>
      <c r="F21" s="200"/>
      <c r="G21" s="200"/>
      <c r="H21" s="200"/>
      <c r="I21" s="200"/>
      <c r="J21" s="200"/>
      <c r="K21" s="200"/>
      <c r="L21" s="200"/>
      <c r="M21" s="200"/>
      <c r="N21" s="200"/>
      <c r="O21" s="200"/>
      <c r="P21" s="201"/>
      <c r="S21" s="43"/>
      <c r="T21" s="43"/>
      <c r="W21" s="38"/>
      <c r="X21" s="38"/>
      <c r="Y21" s="38"/>
      <c r="Z21" s="38"/>
      <c r="AA21" s="39"/>
    </row>
    <row r="22" spans="1:32" ht="12.6" customHeight="1" x14ac:dyDescent="0.2">
      <c r="A22" s="1"/>
      <c r="B22" s="130"/>
      <c r="C22" s="131"/>
      <c r="D22" s="131"/>
      <c r="E22" s="131"/>
      <c r="F22" s="131"/>
      <c r="G22" s="131"/>
      <c r="H22" s="131"/>
      <c r="I22" s="131"/>
      <c r="J22" s="131"/>
      <c r="K22" s="131"/>
      <c r="L22" s="131"/>
      <c r="M22" s="131"/>
      <c r="N22" s="131"/>
      <c r="O22" s="131"/>
      <c r="P22" s="141"/>
      <c r="S22" s="43"/>
      <c r="T22" s="43"/>
      <c r="W22" s="38"/>
      <c r="X22" s="38"/>
      <c r="Y22" s="38"/>
      <c r="Z22" s="38"/>
      <c r="AA22" s="39"/>
    </row>
    <row r="23" spans="1:32" ht="13.15" customHeight="1" x14ac:dyDescent="0.2">
      <c r="A23" s="1"/>
      <c r="B23" s="130"/>
      <c r="C23" s="131"/>
      <c r="D23" s="131"/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41"/>
      <c r="S23" s="43"/>
      <c r="T23" s="43"/>
      <c r="W23" s="38"/>
      <c r="X23" s="38"/>
      <c r="Y23" s="38"/>
      <c r="Z23" s="38"/>
      <c r="AA23" s="39"/>
    </row>
    <row r="24" spans="1:32" ht="8.85" customHeight="1" x14ac:dyDescent="0.2">
      <c r="A24" s="1"/>
      <c r="B24" s="130"/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41"/>
      <c r="R24" s="38"/>
      <c r="S24" s="43"/>
      <c r="T24" s="43"/>
      <c r="U24" s="38"/>
    </row>
    <row r="25" spans="1:32" ht="81" customHeight="1" x14ac:dyDescent="0.2">
      <c r="A25" s="1"/>
      <c r="B25" s="130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41"/>
      <c r="R25" s="38"/>
      <c r="S25" s="43"/>
      <c r="T25" s="43"/>
      <c r="U25" s="180"/>
    </row>
    <row r="26" spans="1:32" ht="13.15" customHeight="1" x14ac:dyDescent="0.2">
      <c r="A26" s="1"/>
      <c r="B26" s="130"/>
      <c r="C26" s="131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41"/>
      <c r="R26" s="38"/>
      <c r="S26" s="43"/>
      <c r="T26" s="43"/>
      <c r="U26" s="180"/>
    </row>
    <row r="27" spans="1:32" ht="13.15" customHeight="1" x14ac:dyDescent="0.2">
      <c r="A27" s="1"/>
      <c r="B27" s="130"/>
      <c r="C27" s="131"/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41"/>
      <c r="R27" s="38"/>
      <c r="S27" s="180"/>
      <c r="T27" s="180"/>
      <c r="U27" s="180"/>
    </row>
    <row r="28" spans="1:32" ht="13.15" customHeight="1" x14ac:dyDescent="0.2">
      <c r="A28" s="1"/>
      <c r="B28" s="133"/>
      <c r="C28" s="134"/>
      <c r="D28" s="134"/>
      <c r="E28" s="134"/>
      <c r="F28" s="134"/>
      <c r="G28" s="134"/>
      <c r="H28" s="134"/>
      <c r="I28" s="134"/>
      <c r="J28" s="134"/>
      <c r="K28" s="134"/>
      <c r="L28" s="134"/>
      <c r="M28" s="134"/>
      <c r="N28" s="134"/>
      <c r="O28" s="134"/>
      <c r="P28" s="142"/>
      <c r="R28" s="38"/>
      <c r="S28" s="180"/>
      <c r="T28" s="180"/>
      <c r="U28" s="180"/>
    </row>
    <row r="29" spans="1:32" ht="9.75" customHeight="1" x14ac:dyDescent="0.2">
      <c r="A29" s="1"/>
      <c r="B29" s="136" t="s">
        <v>50</v>
      </c>
      <c r="C29" s="138"/>
      <c r="D29" s="138"/>
      <c r="E29" s="138"/>
      <c r="F29" s="138"/>
      <c r="G29" s="138"/>
      <c r="H29" s="138"/>
      <c r="I29" s="138"/>
      <c r="J29" s="138"/>
      <c r="K29" s="138"/>
      <c r="L29" s="137"/>
      <c r="M29" s="139" t="s">
        <v>73</v>
      </c>
      <c r="N29" s="138"/>
      <c r="O29" s="138"/>
      <c r="P29" s="140"/>
      <c r="R29" s="38"/>
      <c r="S29" s="38"/>
      <c r="T29" s="38"/>
      <c r="U29" s="38"/>
    </row>
    <row r="30" spans="1:32" ht="10.15" customHeight="1" x14ac:dyDescent="0.2">
      <c r="A30" s="1"/>
      <c r="B30" s="130" t="s">
        <v>79</v>
      </c>
      <c r="C30" s="131"/>
      <c r="D30" s="131"/>
      <c r="E30" s="131"/>
      <c r="F30" s="131"/>
      <c r="G30" s="131"/>
      <c r="H30" s="131"/>
      <c r="I30" s="131"/>
      <c r="J30" s="131"/>
      <c r="K30" s="131"/>
      <c r="L30" s="132"/>
      <c r="M30" s="174" t="s">
        <v>78</v>
      </c>
      <c r="N30" s="175"/>
      <c r="O30" s="175"/>
      <c r="P30" s="176"/>
      <c r="R30" s="38"/>
      <c r="S30" s="38"/>
      <c r="T30" s="38"/>
      <c r="U30" s="38"/>
    </row>
    <row r="31" spans="1:32" ht="10.15" customHeight="1" x14ac:dyDescent="0.2">
      <c r="A31" s="1"/>
      <c r="B31" s="133"/>
      <c r="C31" s="134"/>
      <c r="D31" s="134"/>
      <c r="E31" s="134"/>
      <c r="F31" s="134"/>
      <c r="G31" s="134"/>
      <c r="H31" s="134"/>
      <c r="I31" s="134"/>
      <c r="J31" s="134"/>
      <c r="K31" s="134"/>
      <c r="L31" s="135"/>
      <c r="M31" s="177"/>
      <c r="N31" s="178"/>
      <c r="O31" s="178"/>
      <c r="P31" s="179"/>
      <c r="R31" s="38"/>
      <c r="S31" s="38"/>
      <c r="T31" s="38"/>
      <c r="U31" s="38"/>
    </row>
    <row r="32" spans="1:32" ht="12.95" customHeight="1" x14ac:dyDescent="0.2">
      <c r="A32" s="1"/>
      <c r="B32" s="136" t="s">
        <v>72</v>
      </c>
      <c r="C32" s="137"/>
      <c r="D32" s="115" t="s">
        <v>83</v>
      </c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16"/>
      <c r="R32" s="38"/>
      <c r="S32" s="38"/>
      <c r="T32" s="38"/>
      <c r="U32" s="38"/>
    </row>
    <row r="33" spans="1:21" ht="12.95" customHeight="1" x14ac:dyDescent="0.2">
      <c r="A33" s="1"/>
      <c r="B33" s="156" t="s">
        <v>80</v>
      </c>
      <c r="C33" s="157"/>
      <c r="D33" s="109" t="s">
        <v>65</v>
      </c>
      <c r="E33" s="110"/>
      <c r="F33" s="117" t="s">
        <v>85</v>
      </c>
      <c r="G33" s="118"/>
      <c r="H33" s="109" t="s">
        <v>59</v>
      </c>
      <c r="I33" s="110"/>
      <c r="J33" s="117" t="s">
        <v>56</v>
      </c>
      <c r="K33" s="117"/>
      <c r="L33" s="118"/>
      <c r="M33" s="40" t="s">
        <v>62</v>
      </c>
      <c r="N33" s="119">
        <v>212</v>
      </c>
      <c r="O33" s="119"/>
      <c r="P33" s="120"/>
      <c r="R33" s="38"/>
      <c r="S33" s="38"/>
      <c r="T33" s="38"/>
      <c r="U33" s="38"/>
    </row>
    <row r="34" spans="1:21" ht="12.95" customHeight="1" x14ac:dyDescent="0.2">
      <c r="A34" s="1"/>
      <c r="B34" s="156"/>
      <c r="C34" s="157"/>
      <c r="D34" s="109" t="s">
        <v>0</v>
      </c>
      <c r="E34" s="110"/>
      <c r="F34" s="117">
        <v>358</v>
      </c>
      <c r="G34" s="118"/>
      <c r="H34" s="109" t="s">
        <v>57</v>
      </c>
      <c r="I34" s="110"/>
      <c r="J34" s="119" t="s">
        <v>61</v>
      </c>
      <c r="K34" s="119"/>
      <c r="L34" s="173"/>
      <c r="M34" s="40" t="s">
        <v>63</v>
      </c>
      <c r="N34" s="171"/>
      <c r="O34" s="171"/>
      <c r="P34" s="172"/>
      <c r="R34" s="38"/>
      <c r="S34" s="38"/>
      <c r="T34" s="38"/>
      <c r="U34" s="38"/>
    </row>
    <row r="35" spans="1:21" ht="12.95" customHeight="1" x14ac:dyDescent="0.2">
      <c r="A35" s="1"/>
      <c r="B35" s="156"/>
      <c r="C35" s="157"/>
      <c r="D35" s="109" t="s">
        <v>74</v>
      </c>
      <c r="E35" s="110"/>
      <c r="F35" s="117" t="s">
        <v>61</v>
      </c>
      <c r="G35" s="118"/>
      <c r="H35" s="109"/>
      <c r="I35" s="110"/>
      <c r="J35" s="166"/>
      <c r="K35" s="166"/>
      <c r="L35" s="167"/>
      <c r="M35" s="40" t="s">
        <v>64</v>
      </c>
      <c r="N35" s="168">
        <v>80</v>
      </c>
      <c r="O35" s="168"/>
      <c r="P35" s="169"/>
      <c r="R35" s="38"/>
      <c r="S35" s="38"/>
      <c r="T35" s="38"/>
      <c r="U35" s="38"/>
    </row>
    <row r="36" spans="1:21" ht="12.95" customHeight="1" thickBot="1" x14ac:dyDescent="0.25">
      <c r="A36" s="1"/>
      <c r="B36" s="158"/>
      <c r="C36" s="159"/>
      <c r="D36" s="107" t="s">
        <v>66</v>
      </c>
      <c r="E36" s="108"/>
      <c r="F36" s="124" t="s">
        <v>61</v>
      </c>
      <c r="G36" s="125"/>
      <c r="H36" s="107" t="s">
        <v>1</v>
      </c>
      <c r="I36" s="108"/>
      <c r="J36" s="124" t="s">
        <v>60</v>
      </c>
      <c r="K36" s="124"/>
      <c r="L36" s="125"/>
      <c r="M36" s="41" t="s">
        <v>67</v>
      </c>
      <c r="N36" s="124" t="s">
        <v>82</v>
      </c>
      <c r="O36" s="124"/>
      <c r="P36" s="170"/>
      <c r="R36" s="38"/>
      <c r="S36" s="38"/>
      <c r="T36" s="38"/>
      <c r="U36" s="38"/>
    </row>
    <row r="37" spans="1:21" ht="13.5" thickTop="1" x14ac:dyDescent="0.2"/>
  </sheetData>
  <mergeCells count="157">
    <mergeCell ref="T27:T28"/>
    <mergeCell ref="U27:U28"/>
    <mergeCell ref="U25:U26"/>
    <mergeCell ref="G17:I17"/>
    <mergeCell ref="R17:R18"/>
    <mergeCell ref="B21:P21"/>
    <mergeCell ref="S17:S18"/>
    <mergeCell ref="T17:T18"/>
    <mergeCell ref="U17:U18"/>
    <mergeCell ref="J33:L33"/>
    <mergeCell ref="M30:P31"/>
    <mergeCell ref="B3:E3"/>
    <mergeCell ref="B15:B16"/>
    <mergeCell ref="B13:B14"/>
    <mergeCell ref="S27:S28"/>
    <mergeCell ref="K2:O2"/>
    <mergeCell ref="B19:P19"/>
    <mergeCell ref="L7:N7"/>
    <mergeCell ref="G5:I5"/>
    <mergeCell ref="L15:N16"/>
    <mergeCell ref="F3:F4"/>
    <mergeCell ref="B30:L31"/>
    <mergeCell ref="H33:I33"/>
    <mergeCell ref="B32:C32"/>
    <mergeCell ref="B29:L29"/>
    <mergeCell ref="C15:C16"/>
    <mergeCell ref="F9:F10"/>
    <mergeCell ref="M29:P29"/>
    <mergeCell ref="B22:P28"/>
    <mergeCell ref="B11:B12"/>
    <mergeCell ref="C11:C12"/>
    <mergeCell ref="B9:E10"/>
    <mergeCell ref="B20:P20"/>
    <mergeCell ref="E15:E16"/>
    <mergeCell ref="D17:E17"/>
    <mergeCell ref="D15:D16"/>
    <mergeCell ref="C13:C14"/>
    <mergeCell ref="D33:E33"/>
    <mergeCell ref="B33:C36"/>
    <mergeCell ref="J35:L35"/>
    <mergeCell ref="J36:L36"/>
    <mergeCell ref="N35:P35"/>
    <mergeCell ref="N36:P36"/>
    <mergeCell ref="N34:P34"/>
    <mergeCell ref="J34:L34"/>
    <mergeCell ref="H36:I36"/>
    <mergeCell ref="F11:F12"/>
    <mergeCell ref="D35:E35"/>
    <mergeCell ref="H34:I34"/>
    <mergeCell ref="H1:I2"/>
    <mergeCell ref="F13:F14"/>
    <mergeCell ref="G13:G14"/>
    <mergeCell ref="H13:H14"/>
    <mergeCell ref="I13:I14"/>
    <mergeCell ref="F15:F16"/>
    <mergeCell ref="D32:P32"/>
    <mergeCell ref="F33:G33"/>
    <mergeCell ref="F34:G34"/>
    <mergeCell ref="F35:G35"/>
    <mergeCell ref="H15:H16"/>
    <mergeCell ref="I15:I16"/>
    <mergeCell ref="H35:I35"/>
    <mergeCell ref="G15:G16"/>
    <mergeCell ref="D34:E34"/>
    <mergeCell ref="N33:P33"/>
    <mergeCell ref="B1:G1"/>
    <mergeCell ref="D36:E36"/>
    <mergeCell ref="F36:G36"/>
    <mergeCell ref="G3:I4"/>
    <mergeCell ref="AB9:AB10"/>
    <mergeCell ref="AC9:AC10"/>
    <mergeCell ref="AA11:AA12"/>
    <mergeCell ref="AB11:AB12"/>
    <mergeCell ref="AC11:AC12"/>
    <mergeCell ref="C2:G2"/>
    <mergeCell ref="G11:G12"/>
    <mergeCell ref="H11:H12"/>
    <mergeCell ref="I11:I12"/>
    <mergeCell ref="D11:D12"/>
    <mergeCell ref="E11:E12"/>
    <mergeCell ref="B4:E5"/>
    <mergeCell ref="AD9:AD10"/>
    <mergeCell ref="AE9:AE10"/>
    <mergeCell ref="AF9:AF10"/>
    <mergeCell ref="AD11:AD12"/>
    <mergeCell ref="AE11:AE12"/>
    <mergeCell ref="AF11:AF12"/>
    <mergeCell ref="AD19:AD20"/>
    <mergeCell ref="AD13:AD14"/>
    <mergeCell ref="AE13:AE14"/>
    <mergeCell ref="AE17:AE18"/>
    <mergeCell ref="AA19:AA20"/>
    <mergeCell ref="AB19:AB20"/>
    <mergeCell ref="AC19:AC20"/>
    <mergeCell ref="AF13:AF14"/>
    <mergeCell ref="AD15:AD16"/>
    <mergeCell ref="AE15:AE16"/>
    <mergeCell ref="AF15:AF16"/>
    <mergeCell ref="AF19:AF20"/>
    <mergeCell ref="AD17:AD18"/>
    <mergeCell ref="AF17:AF18"/>
    <mergeCell ref="AE19:AE20"/>
    <mergeCell ref="AB13:AB14"/>
    <mergeCell ref="AB15:AB16"/>
    <mergeCell ref="AC15:AC16"/>
    <mergeCell ref="AA17:AA18"/>
    <mergeCell ref="AB17:AB18"/>
    <mergeCell ref="AC17:AC18"/>
    <mergeCell ref="AC13:AC14"/>
    <mergeCell ref="Z17:Z18"/>
    <mergeCell ref="Y19:Y20"/>
    <mergeCell ref="X19:X20"/>
    <mergeCell ref="Y17:Y18"/>
    <mergeCell ref="Y11:Y12"/>
    <mergeCell ref="X13:X14"/>
    <mergeCell ref="X11:X12"/>
    <mergeCell ref="X9:X10"/>
    <mergeCell ref="X17:X18"/>
    <mergeCell ref="Z15:Z16"/>
    <mergeCell ref="Y15:Y16"/>
    <mergeCell ref="X15:X16"/>
    <mergeCell ref="Z13:Z14"/>
    <mergeCell ref="Y13:Y14"/>
    <mergeCell ref="Z19:Z20"/>
    <mergeCell ref="Y9:Y10"/>
    <mergeCell ref="AA15:AA16"/>
    <mergeCell ref="AA13:AA14"/>
    <mergeCell ref="R2:U2"/>
    <mergeCell ref="R3:U4"/>
    <mergeCell ref="R5:U5"/>
    <mergeCell ref="R9:R10"/>
    <mergeCell ref="S9:S10"/>
    <mergeCell ref="T9:T10"/>
    <mergeCell ref="U9:U10"/>
    <mergeCell ref="Z11:Z12"/>
    <mergeCell ref="Z9:Z10"/>
    <mergeCell ref="AA9:AA10"/>
    <mergeCell ref="S20:T26"/>
    <mergeCell ref="R7:U8"/>
    <mergeCell ref="R6:U6"/>
    <mergeCell ref="B7:I8"/>
    <mergeCell ref="R15:R16"/>
    <mergeCell ref="S15:S16"/>
    <mergeCell ref="T15:T16"/>
    <mergeCell ref="U15:U16"/>
    <mergeCell ref="T13:T14"/>
    <mergeCell ref="U13:U14"/>
    <mergeCell ref="R11:R12"/>
    <mergeCell ref="S11:S12"/>
    <mergeCell ref="T11:T12"/>
    <mergeCell ref="U11:U12"/>
    <mergeCell ref="R13:R14"/>
    <mergeCell ref="S13:S14"/>
    <mergeCell ref="B18:I18"/>
    <mergeCell ref="D13:D14"/>
    <mergeCell ref="E13:E14"/>
    <mergeCell ref="B17:C17"/>
  </mergeCells>
  <phoneticPr fontId="0" type="noConversion"/>
  <dataValidations disablePrompts="1" count="1">
    <dataValidation type="list" showInputMessage="1" showErrorMessage="1" sqref="A10">
      <formula1>"Voll,Transp.,Keine"</formula1>
    </dataValidation>
  </dataValidations>
  <printOptions verticalCentered="1"/>
  <pageMargins left="0.19685039370078741" right="0.19685039370078741" top="0.19685039370078741" bottom="0.19685039370078741" header="0.51181102362204722" footer="0.51181102362204722"/>
  <pageSetup paperSize="9" orientation="landscape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MUSTER</vt:lpstr>
      <vt:lpstr>MUSTER!Oblast_tisku</vt:lpstr>
    </vt:vector>
  </TitlesOfParts>
  <Company>Pokustons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</dc:creator>
  <cp:lastModifiedBy>Jan Horáček</cp:lastModifiedBy>
  <cp:lastPrinted>2019-08-28T07:31:58Z</cp:lastPrinted>
  <dcterms:created xsi:type="dcterms:W3CDTF">2006-08-23T20:38:06Z</dcterms:created>
  <dcterms:modified xsi:type="dcterms:W3CDTF">2019-08-28T07:32:05Z</dcterms:modified>
</cp:coreProperties>
</file>