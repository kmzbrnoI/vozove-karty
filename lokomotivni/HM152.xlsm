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<sst xmlns="http://schemas.openxmlformats.org/spreadsheetml/2006/main" count="103" uniqueCount="89">
  <si>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</si>
  <si>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</si>
  <si>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</si>
  <si>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</si>
  <si>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</si>
  <si>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</si>
  <si>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</si>
  <si>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</si>
  <si>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</si>
  <si>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</si>
  <si>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</si>
  <si>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</si>
  <si>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</si>
  <si>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</si>
  <si>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</si>
  <si>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</si>
  <si>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</si>
  <si>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</si>
  <si>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</si>
  <si>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</si>
  <si>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</si>
  <si>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</si>
  <si>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</si>
  <si>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</si>
  <si>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</si>
  <si>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</si>
  <si>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</si>
  <si>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</si>
  <si>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</si>
  <si>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</si>
  <si>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</si>
  <si>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</si>
  <si>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</si>
  <si>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</si>
  <si>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</si>
  <si>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</si>
  <si>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</si>
  <si>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</si>
  <si>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</si>
  <si>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</si>
  <si>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</si>
  <si>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</si>
  <si>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</si>
  <si>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</si>
  <si>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</si>
  <si>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</si>
  <si>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</si>
  <si>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</si>
  <si>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</si>
  <si>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</si>
  <si>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</si>
  <si>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</si>
  <si>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</si>
  <si>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</si>
  <si>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</si>
  <si>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</si>
  <si>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</si>
  <si>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</si>
  <si>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</si>
  <si>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</si>
  <si>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</si>
  <si>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</si>
  <si>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</si>
  <si>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</si>
  <si>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</si>
  <si>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</si>
  <si>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</si>
  <si>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</si>
  <si>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</si>
  <si>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</si>
  <si>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</si>
  <si>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</si>
  <si>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</si>
  <si>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</si>
  <si>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</si>
  <si>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</si>
  <si>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</si>
  <si>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pružinka</t>
  </si>
  <si>
    <t>Digitrax DZ125</t>
  </si>
  <si>
    <t>1977-1983</t>
  </si>
  <si>
    <t>Motorový vůz ČSD v červeno-krémovém nátěru</t>
  </si>
  <si>
    <t>V</t>
  </si>
  <si>
    <t>M152.0152</t>
  </si>
  <si>
    <t>810.152-9</t>
  </si>
  <si>
    <t>HM152 1520</t>
  </si>
  <si>
    <t>Tillig "nové"</t>
  </si>
  <si>
    <t>Horáčkovi
CZ</t>
  </si>
  <si>
    <t>mírná</t>
  </si>
  <si>
    <t>Výrobe modelu / Manufacturer: malosériová produkce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</si>
</sst>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\ \m\m"/>
    <numFmt numFmtId="165" formatCode="0\ \g"/>
    <numFmt numFmtId="166" formatCode="0\ \k\m\/\h"/>
    <numFmt numFmtId="167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20" xfId="0" applyFont="1" applyBorder="1"/>
    <xf numFmtId="0" fontId="1" fillId="0" borderId="24" xfId="0" applyFont="1" applyFill="1" applyBorder="1" applyAlignment="1"/>
    <xf numFmtId="0" fontId="1" fillId="0" borderId="25" xfId="0" applyFont="1" applyFill="1" applyBorder="1" applyAlignment="1"/>
    <xf numFmtId="0" fontId="1" fillId="0" borderId="26" xfId="0" applyFont="1" applyFill="1" applyBorder="1" applyAlignment="1"/>
    <xf numFmtId="0" fontId="1" fillId="0" borderId="0" xfId="0" applyFont="1"/>
    <xf numFmtId="0" fontId="1" fillId="0" borderId="21" xfId="0" applyFont="1" applyBorder="1"/>
    <xf numFmtId="0" fontId="1" fillId="0" borderId="22" xfId="0" applyFont="1" applyBorder="1"/>
    <xf numFmtId="0" fontId="1" fillId="0" borderId="26" xfId="0" applyFont="1" applyBorder="1"/>
    <xf numFmtId="0" fontId="6" fillId="0" borderId="4" xfId="0" applyNumberFormat="1" applyFont="1" applyFill="1" applyBorder="1" applyAlignment="1">
      <alignment horizontal="center" vertical="center" shrinkToFit="1"/>
    </xf>
    <xf numFmtId="0" fontId="1" fillId="0" borderId="29" xfId="0" applyFont="1" applyFill="1" applyBorder="1" applyAlignment="1"/>
    <xf numFmtId="0" fontId="1" fillId="0" borderId="33" xfId="0" applyFont="1" applyFill="1" applyBorder="1" applyAlignment="1"/>
    <xf numFmtId="0" fontId="1" fillId="0" borderId="37" xfId="0" applyFont="1" applyFill="1" applyBorder="1" applyAlignment="1"/>
    <xf numFmtId="0" fontId="1" fillId="0" borderId="35" xfId="0" applyFont="1" applyFill="1" applyBorder="1" applyAlignment="1"/>
    <xf numFmtId="0" fontId="1" fillId="0" borderId="36" xfId="0" applyFont="1" applyFill="1" applyBorder="1" applyAlignment="1"/>
    <xf numFmtId="0" fontId="1" fillId="0" borderId="39" xfId="0" applyFont="1" applyFill="1" applyBorder="1" applyAlignment="1"/>
    <xf numFmtId="0" fontId="1" fillId="0" borderId="0" xfId="0" applyFont="1" applyFill="1" applyBorder="1" applyAlignment="1"/>
    <xf numFmtId="0" fontId="1" fillId="0" borderId="38" xfId="0" applyFont="1" applyFill="1" applyBorder="1" applyAlignment="1"/>
    <xf numFmtId="0" fontId="9" fillId="0" borderId="30" xfId="0" applyFont="1" applyFill="1" applyBorder="1" applyAlignment="1">
      <alignment horizontal="center" vertical="center" shrinkToFit="1"/>
    </xf>
    <xf numFmtId="0" fontId="2" fillId="0" borderId="13" xfId="0" applyFont="1" applyFill="1" applyBorder="1" applyAlignment="1"/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5" xfId="0" applyFont="1" applyFill="1" applyBorder="1" applyAlignment="1">
      <alignment vertical="center" shrinkToFit="1"/>
    </xf>
    <xf numFmtId="0" fontId="1" fillId="0" borderId="27" xfId="0" applyFont="1" applyFill="1" applyBorder="1" applyAlignment="1">
      <alignment vertical="center" shrinkToFit="1"/>
    </xf>
    <xf numFmtId="0" fontId="1" fillId="0" borderId="20" xfId="0" applyFont="1" applyFill="1" applyBorder="1"/>
    <xf numFmtId="0" fontId="1" fillId="0" borderId="0" xfId="0" applyFont="1" applyFill="1"/>
    <xf numFmtId="0" fontId="1" fillId="0" borderId="5" xfId="0" applyFont="1" applyFill="1" applyBorder="1" applyAlignment="1"/>
    <xf numFmtId="0" fontId="1" fillId="0" borderId="0" xfId="0" applyFont="1" applyFill="1" applyBorder="1"/>
    <xf numFmtId="0" fontId="2" fillId="0" borderId="30" xfId="0" applyFont="1" applyFill="1" applyBorder="1" applyAlignment="1">
      <alignment vertical="center" shrinkToFit="1"/>
    </xf>
    <xf numFmtId="0" fontId="1" fillId="0" borderId="28" xfId="0" applyFont="1" applyFill="1" applyBorder="1" applyAlignment="1"/>
    <xf numFmtId="0" fontId="1" fillId="0" borderId="31" xfId="0" applyFont="1" applyFill="1" applyBorder="1" applyAlignment="1"/>
    <xf numFmtId="0" fontId="1" fillId="0" borderId="27" xfId="0" applyFont="1" applyFill="1" applyBorder="1" applyAlignment="1"/>
    <xf numFmtId="0" fontId="1" fillId="0" borderId="50" xfId="0" applyFont="1" applyFill="1" applyBorder="1" applyAlignment="1">
      <alignment horizontal="center" shrinkToFit="1"/>
    </xf>
    <xf numFmtId="0" fontId="1" fillId="0" borderId="48" xfId="0" applyFont="1" applyFill="1" applyBorder="1" applyAlignment="1"/>
    <xf numFmtId="0" fontId="1" fillId="0" borderId="51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30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" fillId="0" borderId="40" xfId="0" applyFont="1" applyBorder="1" applyAlignment="1">
      <alignment horizontal="center" shrinkToFit="1"/>
    </xf>
    <xf numFmtId="0" fontId="1" fillId="0" borderId="41" xfId="0" applyFont="1" applyBorder="1" applyAlignment="1">
      <alignment horizontal="center" shrinkToFit="1"/>
    </xf>
    <xf numFmtId="0" fontId="1" fillId="0" borderId="42" xfId="0" applyFont="1" applyBorder="1" applyAlignment="1">
      <alignment horizontal="center" shrinkToFit="1"/>
    </xf>
    <xf numFmtId="0" fontId="1" fillId="0" borderId="34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38" xfId="0" applyFont="1" applyFill="1" applyBorder="1" applyAlignment="1">
      <alignment horizontal="left" vertical="center" wrapText="1" shrinkToFit="1"/>
    </xf>
    <xf numFmtId="0" fontId="12" fillId="0" borderId="4" xfId="0" applyFont="1" applyFill="1" applyBorder="1" applyAlignment="1">
      <alignment horizontal="left" vertical="center" wrapText="1" shrinkToFit="1"/>
    </xf>
    <xf numFmtId="0" fontId="12" fillId="0" borderId="5" xfId="0" applyFont="1" applyFill="1" applyBorder="1" applyAlignment="1">
      <alignment horizontal="left" vertical="center" wrapText="1" shrinkToFit="1"/>
    </xf>
    <xf numFmtId="0" fontId="12" fillId="0" borderId="27" xfId="0" applyFont="1" applyFill="1" applyBorder="1" applyAlignment="1">
      <alignment horizontal="left" vertical="center" wrapText="1" shrinkToFit="1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20" xfId="0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4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 shrinkToFit="1"/>
    </xf>
    <xf numFmtId="0" fontId="2" fillId="0" borderId="12" xfId="0" applyFont="1" applyFill="1" applyBorder="1" applyAlignment="1">
      <alignment horizontal="center" vertical="center" shrinkToFit="1"/>
    </xf>
    <xf numFmtId="0" fontId="7" fillId="0" borderId="5" xfId="0" applyNumberFormat="1" applyFont="1" applyFill="1" applyBorder="1" applyAlignment="1">
      <alignment horizontal="center" vertical="center" shrinkToFit="1"/>
    </xf>
    <xf numFmtId="0" fontId="7" fillId="0" borderId="27" xfId="0" applyNumberFormat="1" applyFont="1" applyFill="1" applyBorder="1" applyAlignment="1">
      <alignment horizontal="center" vertical="center" shrinkToFit="1"/>
    </xf>
    <xf numFmtId="0" fontId="2" fillId="0" borderId="36" xfId="0" applyFont="1" applyFill="1" applyBorder="1" applyAlignment="1">
      <alignment horizontal="center" vertical="center" shrinkToFit="1"/>
    </xf>
    <xf numFmtId="0" fontId="2" fillId="0" borderId="27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 vertical="center" shrinkToFit="1"/>
    </xf>
    <xf numFmtId="0" fontId="1" fillId="0" borderId="47" xfId="0" applyFont="1" applyFill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27" xfId="0" applyFont="1" applyFill="1" applyBorder="1" applyAlignment="1">
      <alignment horizontal="center" vertical="center" shrinkToFit="1"/>
    </xf>
    <xf numFmtId="0" fontId="2" fillId="0" borderId="46" xfId="0" applyFont="1" applyFill="1" applyBorder="1" applyAlignment="1">
      <alignment horizontal="left" vertical="center" shrinkToFit="1"/>
    </xf>
    <xf numFmtId="0" fontId="2" fillId="0" borderId="31" xfId="0" applyFont="1" applyFill="1" applyBorder="1" applyAlignment="1">
      <alignment horizontal="left" vertical="center" shrinkToFit="1"/>
    </xf>
    <xf numFmtId="0" fontId="2" fillId="0" borderId="58" xfId="0" applyFont="1" applyFill="1" applyBorder="1" applyAlignment="1">
      <alignment horizontal="left" vertical="center"/>
    </xf>
    <xf numFmtId="0" fontId="2" fillId="0" borderId="48" xfId="0" applyFont="1" applyFill="1" applyBorder="1" applyAlignment="1">
      <alignment horizontal="left" vertical="center"/>
    </xf>
    <xf numFmtId="0" fontId="2" fillId="0" borderId="30" xfId="0" applyFont="1" applyFill="1" applyBorder="1" applyAlignment="1">
      <alignment horizontal="left" vertical="center"/>
    </xf>
    <xf numFmtId="0" fontId="2" fillId="0" borderId="31" xfId="0" applyFont="1" applyFill="1" applyBorder="1" applyAlignment="1">
      <alignment horizontal="left" vertical="center"/>
    </xf>
    <xf numFmtId="0" fontId="5" fillId="0" borderId="24" xfId="0" applyFont="1" applyFill="1" applyBorder="1" applyAlignment="1">
      <alignment horizontal="center" vertical="center" shrinkToFit="1"/>
    </xf>
    <xf numFmtId="0" fontId="5" fillId="0" borderId="23" xfId="0" applyFont="1" applyFill="1" applyBorder="1" applyAlignment="1">
      <alignment horizontal="center" vertical="center" shrinkToFit="1"/>
    </xf>
    <xf numFmtId="0" fontId="5" fillId="0" borderId="28" xfId="0" applyFont="1" applyFill="1" applyBorder="1" applyAlignment="1">
      <alignment horizontal="center" vertical="center" shrinkToFit="1"/>
    </xf>
    <xf numFmtId="0" fontId="5" fillId="0" borderId="27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left" vertical="center" shrinkToFit="1"/>
    </xf>
    <xf numFmtId="0" fontId="2" fillId="0" borderId="55" xfId="0" applyFont="1" applyFill="1" applyBorder="1" applyAlignment="1">
      <alignment horizontal="left" vertical="center" shrinkToFit="1"/>
    </xf>
    <xf numFmtId="0" fontId="16" fillId="0" borderId="31" xfId="0" applyFont="1" applyFill="1" applyBorder="1" applyAlignment="1">
      <alignment horizontal="left" vertical="center" shrinkToFit="1"/>
    </xf>
    <xf numFmtId="0" fontId="16" fillId="0" borderId="32" xfId="0" applyFont="1" applyFill="1" applyBorder="1" applyAlignment="1">
      <alignment horizontal="left" vertical="center" shrinkToFit="1"/>
    </xf>
    <xf numFmtId="164" fontId="16" fillId="0" borderId="31" xfId="0" applyNumberFormat="1" applyFont="1" applyFill="1" applyBorder="1" applyAlignment="1">
      <alignment horizontal="left" vertical="center" shrinkToFit="1"/>
    </xf>
    <xf numFmtId="164" fontId="16" fillId="0" borderId="55" xfId="0" applyNumberFormat="1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0" fontId="16" fillId="0" borderId="48" xfId="0" applyFont="1" applyFill="1" applyBorder="1" applyAlignment="1">
      <alignment horizontal="left" vertical="center" shrinkToFit="1"/>
    </xf>
    <xf numFmtId="0" fontId="16" fillId="0" borderId="49" xfId="0" applyFont="1" applyFill="1" applyBorder="1" applyAlignment="1">
      <alignment horizontal="left" vertical="center" shrinkToFit="1"/>
    </xf>
    <xf numFmtId="0" fontId="10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27" xfId="0" applyFont="1" applyFill="1" applyBorder="1" applyAlignment="1">
      <alignment horizontal="left" vertical="center"/>
    </xf>
    <xf numFmtId="0" fontId="1" fillId="0" borderId="34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38" xfId="0" applyFont="1" applyFill="1" applyBorder="1" applyAlignment="1">
      <alignment vertical="top" shrinkToFit="1"/>
    </xf>
    <xf numFmtId="0" fontId="1" fillId="0" borderId="4" xfId="0" applyFont="1" applyFill="1" applyBorder="1" applyAlignment="1">
      <alignment vertical="top" shrinkToFit="1"/>
    </xf>
    <xf numFmtId="0" fontId="1" fillId="0" borderId="5" xfId="0" applyFont="1" applyFill="1" applyBorder="1" applyAlignment="1">
      <alignment vertical="top" shrinkToFit="1"/>
    </xf>
    <xf numFmtId="0" fontId="1" fillId="0" borderId="27" xfId="0" applyFont="1" applyFill="1" applyBorder="1" applyAlignment="1">
      <alignment vertical="top" shrinkToFit="1"/>
    </xf>
    <xf numFmtId="0" fontId="4" fillId="0" borderId="13" xfId="0" applyFont="1" applyFill="1" applyBorder="1" applyAlignment="1">
      <alignment horizontal="left"/>
    </xf>
    <xf numFmtId="0" fontId="4" fillId="0" borderId="36" xfId="0" applyFont="1" applyFill="1" applyBorder="1" applyAlignment="1">
      <alignment horizontal="left"/>
    </xf>
    <xf numFmtId="0" fontId="4" fillId="0" borderId="35" xfId="0" applyFont="1" applyFill="1" applyBorder="1" applyAlignment="1">
      <alignment horizontal="left"/>
    </xf>
    <xf numFmtId="0" fontId="4" fillId="0" borderId="37" xfId="0" applyFont="1" applyFill="1" applyBorder="1" applyAlignment="1">
      <alignment horizontal="left"/>
    </xf>
    <xf numFmtId="0" fontId="4" fillId="0" borderId="54" xfId="0" applyFont="1" applyFill="1" applyBorder="1" applyAlignment="1">
      <alignment horizontal="left"/>
    </xf>
    <xf numFmtId="0" fontId="1" fillId="0" borderId="20" xfId="0" applyFont="1" applyFill="1" applyBorder="1" applyAlignment="1">
      <alignment vertical="top" shrinkToFit="1"/>
    </xf>
    <xf numFmtId="0" fontId="1" fillId="0" borderId="6" xfId="0" applyFont="1" applyFill="1" applyBorder="1" applyAlignment="1">
      <alignment vertical="top" shrinkToFit="1"/>
    </xf>
    <xf numFmtId="0" fontId="1" fillId="0" borderId="7" xfId="0" applyFont="1" applyFill="1" applyBorder="1" applyAlignment="1">
      <alignment horizontal="center" vertical="center" shrinkToFit="1"/>
    </xf>
    <xf numFmtId="0" fontId="1" fillId="0" borderId="8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left" vertical="center" shrinkToFit="1"/>
    </xf>
    <xf numFmtId="0" fontId="1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 shrinkToFit="1"/>
    </xf>
    <xf numFmtId="0" fontId="1" fillId="0" borderId="4" xfId="0" applyFont="1" applyFill="1" applyBorder="1" applyAlignment="1">
      <alignment horizontal="left" vertical="center" shrinkToFit="1"/>
    </xf>
    <xf numFmtId="0" fontId="1" fillId="0" borderId="5" xfId="0" applyFont="1" applyFill="1" applyBorder="1" applyAlignment="1">
      <alignment horizontal="left" vertical="center" shrinkToFit="1"/>
    </xf>
    <xf numFmtId="0" fontId="1" fillId="0" borderId="27" xfId="0" applyFont="1" applyFill="1" applyBorder="1" applyAlignment="1">
      <alignment horizontal="left" vertical="center" shrinkToFit="1"/>
    </xf>
    <xf numFmtId="0" fontId="6" fillId="0" borderId="4" xfId="0" applyFont="1" applyFill="1" applyBorder="1" applyAlignment="1">
      <alignment shrinkToFit="1"/>
    </xf>
    <xf numFmtId="0" fontId="6" fillId="0" borderId="5" xfId="0" applyFont="1" applyFill="1" applyBorder="1" applyAlignment="1">
      <alignment shrinkToFit="1"/>
    </xf>
    <xf numFmtId="0" fontId="6" fillId="0" borderId="6" xfId="0" applyFont="1" applyFill="1" applyBorder="1" applyAlignment="1">
      <alignment shrinkToFit="1"/>
    </xf>
    <xf numFmtId="0" fontId="14" fillId="0" borderId="31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2" fillId="0" borderId="34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center" vertical="center" wrapText="1"/>
    </xf>
    <xf numFmtId="0" fontId="10" fillId="0" borderId="34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38" xfId="0" applyFont="1" applyFill="1" applyBorder="1" applyAlignment="1">
      <alignment horizontal="left" vertical="center" shrinkToFit="1"/>
    </xf>
    <xf numFmtId="0" fontId="10" fillId="0" borderId="4" xfId="0" applyFont="1" applyFill="1" applyBorder="1" applyAlignment="1">
      <alignment horizontal="left" vertical="center" shrinkToFit="1"/>
    </xf>
    <xf numFmtId="0" fontId="10" fillId="0" borderId="5" xfId="0" applyFont="1" applyFill="1" applyBorder="1" applyAlignment="1">
      <alignment horizontal="left" vertical="center" shrinkToFit="1"/>
    </xf>
    <xf numFmtId="0" fontId="10" fillId="0" borderId="27" xfId="0" applyFont="1" applyFill="1" applyBorder="1" applyAlignment="1">
      <alignment horizontal="left" vertical="center" shrinkToFit="1"/>
    </xf>
    <xf numFmtId="167" fontId="16" fillId="0" borderId="31" xfId="0" applyNumberFormat="1" applyFont="1" applyFill="1" applyBorder="1" applyAlignment="1">
      <alignment horizontal="left" vertical="center" shrinkToFit="1"/>
    </xf>
    <xf numFmtId="167" fontId="16" fillId="0" borderId="32" xfId="0" applyNumberFormat="1" applyFont="1" applyFill="1" applyBorder="1" applyAlignment="1">
      <alignment horizontal="left" vertical="center" shrinkToFit="1"/>
    </xf>
    <xf numFmtId="166" fontId="16" fillId="0" borderId="31" xfId="0" applyNumberFormat="1" applyFont="1" applyFill="1" applyBorder="1" applyAlignment="1">
      <alignment horizontal="left" vertical="center" shrinkToFit="1"/>
    </xf>
    <xf numFmtId="166" fontId="16" fillId="0" borderId="55" xfId="0" applyNumberFormat="1" applyFont="1" applyFill="1" applyBorder="1" applyAlignment="1">
      <alignment horizontal="left" vertical="center" shrinkToFit="1"/>
    </xf>
    <xf numFmtId="0" fontId="16" fillId="0" borderId="59" xfId="0" applyFont="1" applyFill="1" applyBorder="1" applyAlignment="1">
      <alignment horizontal="left" vertical="center" shrinkToFit="1"/>
    </xf>
    <xf numFmtId="165" fontId="16" fillId="0" borderId="31" xfId="0" applyNumberFormat="1" applyFont="1" applyFill="1" applyBorder="1" applyAlignment="1">
      <alignment horizontal="left" vertical="center" shrinkToFit="1"/>
    </xf>
    <xf numFmtId="165" fontId="16" fillId="0" borderId="55" xfId="0" applyNumberFormat="1" applyFont="1" applyFill="1" applyBorder="1" applyAlignment="1">
      <alignment horizontal="left" vertical="center" shrinkToFit="1"/>
    </xf>
    <xf numFmtId="164" fontId="16" fillId="0" borderId="32" xfId="0" applyNumberFormat="1" applyFont="1" applyFill="1" applyBorder="1" applyAlignment="1">
      <alignment horizontal="left" vertical="center" shrinkToFit="1"/>
    </xf>
    <xf numFmtId="0" fontId="15" fillId="0" borderId="39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15" fillId="0" borderId="5" xfId="0" applyFont="1" applyFill="1" applyBorder="1" applyAlignment="1">
      <alignment horizontal="center" vertical="center" shrinkToFit="1"/>
    </xf>
    <xf numFmtId="0" fontId="15" fillId="0" borderId="6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31" xfId="0" applyFont="1" applyFill="1" applyBorder="1" applyAlignment="1">
      <alignment horizontal="center" vertical="center" shrinkToFit="1"/>
    </xf>
    <xf numFmtId="0" fontId="8" fillId="0" borderId="32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5" fillId="0" borderId="37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36" xfId="0" applyFont="1" applyFill="1" applyBorder="1" applyAlignment="1">
      <alignment horizontal="center" vertical="center" shrinkToFit="1"/>
    </xf>
    <xf numFmtId="0" fontId="5" fillId="0" borderId="5" xfId="0" applyFont="1" applyFill="1" applyBorder="1" applyAlignment="1">
      <alignment horizontal="center" vertical="center" shrinkToFit="1"/>
    </xf>
    <xf numFmtId="0" fontId="9" fillId="0" borderId="37" xfId="0" applyFont="1" applyFill="1" applyBorder="1" applyAlignment="1">
      <alignment horizontal="center" vertical="center" shrinkToFit="1"/>
    </xf>
    <xf numFmtId="0" fontId="9" fillId="0" borderId="28" xfId="0" applyFont="1" applyFill="1" applyBorder="1" applyAlignment="1">
      <alignment horizontal="center" vertical="center" shrinkToFit="1"/>
    </xf>
    <xf numFmtId="0" fontId="2" fillId="0" borderId="3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/>
    </xf>
    <xf numFmtId="0" fontId="4" fillId="0" borderId="13" xfId="0" applyFont="1" applyFill="1" applyBorder="1" applyAlignment="1"/>
    <xf numFmtId="0" fontId="4" fillId="0" borderId="35" xfId="0" applyFont="1" applyFill="1" applyBorder="1" applyAlignment="1"/>
    <xf numFmtId="0" fontId="4" fillId="0" borderId="54" xfId="0" applyFont="1" applyFill="1" applyBorder="1" applyAlignment="1"/>
    <xf numFmtId="0" fontId="1" fillId="0" borderId="52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6036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60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61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6037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6038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6039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6040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6041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42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43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44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45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46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47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48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49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50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51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52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53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5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5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6056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605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66675</xdr:rowOff>
    </xdr:from>
    <xdr:to>
      <xdr:col>15</xdr:col>
      <xdr:colOff>28575</xdr:colOff>
      <xdr:row>25</xdr:row>
      <xdr:rowOff>114300</xdr:rowOff>
    </xdr:to>
    <xdr:pic>
      <xdr:nvPicPr>
        <xdr:cNvPr id="36058" name="Obrázek 2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114800"/>
          <a:ext cx="4943475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66675</xdr:colOff>
      <xdr:row>6</xdr:row>
      <xdr:rowOff>66675</xdr:rowOff>
    </xdr:from>
    <xdr:to>
      <xdr:col>20</xdr:col>
      <xdr:colOff>314325</xdr:colOff>
      <xdr:row>6</xdr:row>
      <xdr:rowOff>342900</xdr:rowOff>
    </xdr:to>
    <xdr:pic>
      <xdr:nvPicPr>
        <xdr:cNvPr id="36059" name="Obrázek 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6900" y="1209675"/>
          <a:ext cx="9144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21" t="s">
        <v>52</v>
      </c>
      <c r="C1" s="122"/>
      <c r="D1" s="122"/>
      <c r="E1" s="122"/>
      <c r="F1" s="122"/>
      <c r="G1" s="123"/>
      <c r="H1" s="111" t="s">
        <v>75</v>
      </c>
      <c r="I1" s="112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94" t="s">
        <v>82</v>
      </c>
      <c r="D2" s="94"/>
      <c r="E2" s="94"/>
      <c r="F2" s="94"/>
      <c r="G2" s="95"/>
      <c r="H2" s="113"/>
      <c r="I2" s="114"/>
      <c r="J2" s="10"/>
      <c r="K2" s="181"/>
      <c r="L2" s="182"/>
      <c r="M2" s="182"/>
      <c r="N2" s="182"/>
      <c r="O2" s="183"/>
      <c r="P2" s="11"/>
      <c r="R2" s="73" t="str">
        <f>C2</f>
        <v>M152.0152</v>
      </c>
      <c r="S2" s="74"/>
      <c r="T2" s="74"/>
      <c r="U2" s="75"/>
    </row>
    <row r="3" spans="1:32" ht="10.15" customHeight="1" x14ac:dyDescent="0.2">
      <c r="A3" s="1"/>
      <c r="B3" s="136" t="s">
        <v>14</v>
      </c>
      <c r="C3" s="138"/>
      <c r="D3" s="138"/>
      <c r="E3" s="137"/>
      <c r="F3" s="194" t="s">
        <v>13</v>
      </c>
      <c r="G3" s="126" t="s">
        <v>82</v>
      </c>
      <c r="H3" s="126"/>
      <c r="I3" s="127"/>
      <c r="J3" s="10"/>
      <c r="K3" s="12"/>
      <c r="L3" s="13"/>
      <c r="M3" s="13"/>
      <c r="N3" s="13"/>
      <c r="O3" s="14"/>
      <c r="P3" s="11"/>
      <c r="R3" s="73" t="str">
        <f>H1</f>
        <v>ČSD</v>
      </c>
      <c r="S3" s="74"/>
      <c r="T3" s="74"/>
      <c r="U3" s="75"/>
    </row>
    <row r="4" spans="1:32" ht="12.6" customHeight="1" x14ac:dyDescent="0.2">
      <c r="A4" s="1"/>
      <c r="B4" s="160" t="s">
        <v>59</v>
      </c>
      <c r="C4" s="161"/>
      <c r="D4" s="161"/>
      <c r="E4" s="162"/>
      <c r="F4" s="195"/>
      <c r="G4" s="128"/>
      <c r="H4" s="128"/>
      <c r="I4" s="129"/>
      <c r="J4" s="10"/>
      <c r="K4" s="15"/>
      <c r="L4" s="16"/>
      <c r="M4" s="16"/>
      <c r="N4" s="16"/>
      <c r="O4" s="17"/>
      <c r="P4" s="11"/>
      <c r="R4" s="73"/>
      <c r="S4" s="74"/>
      <c r="T4" s="74"/>
      <c r="U4" s="75"/>
    </row>
    <row r="5" spans="1:32" ht="22.7" customHeight="1" x14ac:dyDescent="0.2">
      <c r="A5" s="1"/>
      <c r="B5" s="163"/>
      <c r="C5" s="164"/>
      <c r="D5" s="164"/>
      <c r="E5" s="165"/>
      <c r="F5" s="18" t="s">
        <v>81</v>
      </c>
      <c r="G5" s="188" t="s">
        <v>83</v>
      </c>
      <c r="H5" s="188"/>
      <c r="I5" s="189"/>
      <c r="J5" s="10"/>
      <c r="K5" s="15"/>
      <c r="L5" s="16"/>
      <c r="M5" s="16"/>
      <c r="N5" s="16"/>
      <c r="O5" s="17"/>
      <c r="P5" s="11"/>
      <c r="R5" s="76" t="str">
        <f>M30</f>
        <v>HM152 1520</v>
      </c>
      <c r="S5" s="77"/>
      <c r="T5" s="77"/>
      <c r="U5" s="78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50"/>
      <c r="S6" s="51"/>
      <c r="T6" s="51"/>
      <c r="U6" s="52"/>
    </row>
    <row r="7" spans="1:32" ht="45.6" customHeight="1" x14ac:dyDescent="0.5">
      <c r="A7" s="1"/>
      <c r="B7" s="53" t="s">
        <v>80</v>
      </c>
      <c r="C7" s="54"/>
      <c r="D7" s="54"/>
      <c r="E7" s="54"/>
      <c r="F7" s="54"/>
      <c r="G7" s="54"/>
      <c r="H7" s="54"/>
      <c r="I7" s="55"/>
      <c r="J7" s="10"/>
      <c r="K7" s="15"/>
      <c r="L7" s="187" t="s">
        <v>69</v>
      </c>
      <c r="M7" s="187"/>
      <c r="N7" s="187"/>
      <c r="O7" s="17"/>
      <c r="P7" s="11"/>
      <c r="R7" s="44">
        <f>D17</f>
        <v>0</v>
      </c>
      <c r="S7" s="45"/>
      <c r="T7" s="45"/>
      <c r="U7" s="46"/>
    </row>
    <row r="8" spans="1:32" ht="8.1" customHeight="1" x14ac:dyDescent="0.2">
      <c r="A8" s="1"/>
      <c r="B8" s="56"/>
      <c r="C8" s="57"/>
      <c r="D8" s="57"/>
      <c r="E8" s="57"/>
      <c r="F8" s="57"/>
      <c r="G8" s="57"/>
      <c r="H8" s="57"/>
      <c r="I8" s="58"/>
      <c r="J8" s="10"/>
      <c r="K8" s="15"/>
      <c r="L8" s="16"/>
      <c r="M8" s="16"/>
      <c r="N8" s="16"/>
      <c r="O8" s="17"/>
      <c r="P8" s="11"/>
      <c r="R8" s="47"/>
      <c r="S8" s="48"/>
      <c r="T8" s="48"/>
      <c r="U8" s="49"/>
    </row>
    <row r="9" spans="1:32" ht="13.7" customHeight="1" x14ac:dyDescent="0.2">
      <c r="A9" s="1"/>
      <c r="B9" s="145" t="s">
        <v>71</v>
      </c>
      <c r="C9" s="146"/>
      <c r="D9" s="146"/>
      <c r="E9" s="147"/>
      <c r="F9" s="98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79"/>
      <c r="S9" s="81"/>
      <c r="T9" s="63" t="s">
        <v>10</v>
      </c>
      <c r="U9" s="65"/>
      <c r="W9" s="24"/>
      <c r="X9" s="85"/>
      <c r="Y9" s="67" t="s">
        <v>19</v>
      </c>
      <c r="Z9" s="83" t="s">
        <v>20</v>
      </c>
      <c r="AA9" s="85"/>
      <c r="AB9" s="87" t="s">
        <v>27</v>
      </c>
      <c r="AC9" s="88" t="s">
        <v>30</v>
      </c>
      <c r="AD9" s="90"/>
      <c r="AE9" s="87" t="s">
        <v>37</v>
      </c>
      <c r="AF9" s="88" t="s">
        <v>50</v>
      </c>
    </row>
    <row r="10" spans="1:32" ht="13.7" customHeight="1" x14ac:dyDescent="0.2">
      <c r="A10" s="1"/>
      <c r="B10" s="148"/>
      <c r="C10" s="149"/>
      <c r="D10" s="149"/>
      <c r="E10" s="150"/>
      <c r="F10" s="99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80"/>
      <c r="S10" s="82"/>
      <c r="T10" s="64"/>
      <c r="U10" s="66"/>
      <c r="X10" s="86"/>
      <c r="Y10" s="68"/>
      <c r="Z10" s="84"/>
      <c r="AA10" s="86"/>
      <c r="AB10" s="87"/>
      <c r="AC10" s="88"/>
      <c r="AD10" s="90"/>
      <c r="AE10" s="87"/>
      <c r="AF10" s="88"/>
    </row>
    <row r="11" spans="1:32" s="28" customFormat="1" ht="13.7" customHeight="1" x14ac:dyDescent="0.2">
      <c r="A11" s="27"/>
      <c r="B11" s="143" t="s">
        <v>8</v>
      </c>
      <c r="C11" s="96"/>
      <c r="D11" s="98" t="s">
        <v>7</v>
      </c>
      <c r="E11" s="96"/>
      <c r="F11" s="98" t="s">
        <v>4</v>
      </c>
      <c r="G11" s="96"/>
      <c r="H11" s="98" t="s">
        <v>2</v>
      </c>
      <c r="I11" s="96"/>
      <c r="J11" s="10"/>
      <c r="K11" s="15"/>
      <c r="L11" s="16"/>
      <c r="M11" s="16"/>
      <c r="N11" s="16"/>
      <c r="O11" s="17"/>
      <c r="P11" s="11"/>
      <c r="R11" s="59" t="s">
        <v>8</v>
      </c>
      <c r="S11" s="61"/>
      <c r="T11" s="63" t="s">
        <v>9</v>
      </c>
      <c r="U11" s="65"/>
      <c r="X11" s="71"/>
      <c r="Y11" s="67" t="s">
        <v>49</v>
      </c>
      <c r="Z11" s="83" t="s">
        <v>48</v>
      </c>
      <c r="AA11" s="71"/>
      <c r="AB11" s="87" t="s">
        <v>28</v>
      </c>
      <c r="AC11" s="88" t="s">
        <v>29</v>
      </c>
      <c r="AD11" s="91"/>
      <c r="AE11" s="87" t="s">
        <v>38</v>
      </c>
      <c r="AF11" s="88" t="s">
        <v>39</v>
      </c>
    </row>
    <row r="12" spans="1:32" s="28" customFormat="1" ht="13.7" customHeight="1" x14ac:dyDescent="0.2">
      <c r="A12" s="27"/>
      <c r="B12" s="144"/>
      <c r="C12" s="97"/>
      <c r="D12" s="99"/>
      <c r="E12" s="97"/>
      <c r="F12" s="99"/>
      <c r="G12" s="97"/>
      <c r="H12" s="99"/>
      <c r="I12" s="97"/>
      <c r="J12" s="10"/>
      <c r="K12" s="15"/>
      <c r="L12" s="16"/>
      <c r="M12" s="16"/>
      <c r="N12" s="16"/>
      <c r="O12" s="17"/>
      <c r="P12" s="11"/>
      <c r="R12" s="60"/>
      <c r="S12" s="62"/>
      <c r="T12" s="64"/>
      <c r="U12" s="66"/>
      <c r="X12" s="72"/>
      <c r="Y12" s="68"/>
      <c r="Z12" s="84"/>
      <c r="AA12" s="72"/>
      <c r="AB12" s="87"/>
      <c r="AC12" s="88"/>
      <c r="AD12" s="91"/>
      <c r="AE12" s="87"/>
      <c r="AF12" s="88"/>
    </row>
    <row r="13" spans="1:32" s="28" customFormat="1" ht="13.7" customHeight="1" x14ac:dyDescent="0.2">
      <c r="A13" s="27"/>
      <c r="B13" s="143" t="s">
        <v>9</v>
      </c>
      <c r="C13" s="103"/>
      <c r="D13" s="98" t="s">
        <v>6</v>
      </c>
      <c r="E13" s="103"/>
      <c r="F13" s="98" t="s">
        <v>5</v>
      </c>
      <c r="G13" s="103"/>
      <c r="H13" s="98" t="s">
        <v>3</v>
      </c>
      <c r="I13" s="103"/>
      <c r="J13" s="10"/>
      <c r="K13" s="15"/>
      <c r="L13" s="16"/>
      <c r="M13" s="16"/>
      <c r="N13" s="16"/>
      <c r="O13" s="17"/>
      <c r="P13" s="11"/>
      <c r="R13" s="59" t="s">
        <v>7</v>
      </c>
      <c r="S13" s="61"/>
      <c r="T13" s="63" t="s">
        <v>6</v>
      </c>
      <c r="U13" s="65"/>
      <c r="X13" s="71"/>
      <c r="Y13" s="67" t="s">
        <v>24</v>
      </c>
      <c r="Z13" s="83" t="s">
        <v>23</v>
      </c>
      <c r="AA13" s="71"/>
      <c r="AB13" s="87" t="s">
        <v>33</v>
      </c>
      <c r="AC13" s="88" t="s">
        <v>31</v>
      </c>
      <c r="AD13" s="91"/>
      <c r="AE13" s="92" t="s">
        <v>41</v>
      </c>
      <c r="AF13" s="88" t="s">
        <v>40</v>
      </c>
    </row>
    <row r="14" spans="1:32" s="28" customFormat="1" ht="13.7" customHeight="1" x14ac:dyDescent="0.2">
      <c r="A14" s="27"/>
      <c r="B14" s="144"/>
      <c r="C14" s="104"/>
      <c r="D14" s="99"/>
      <c r="E14" s="104"/>
      <c r="F14" s="99"/>
      <c r="G14" s="104"/>
      <c r="H14" s="99"/>
      <c r="I14" s="104"/>
      <c r="J14" s="10"/>
      <c r="K14" s="15"/>
      <c r="L14" s="29"/>
      <c r="M14" s="29"/>
      <c r="N14" s="29"/>
      <c r="O14" s="17"/>
      <c r="P14" s="11"/>
      <c r="R14" s="60"/>
      <c r="S14" s="62"/>
      <c r="T14" s="64"/>
      <c r="U14" s="66"/>
      <c r="W14" s="30"/>
      <c r="X14" s="72"/>
      <c r="Y14" s="68"/>
      <c r="Z14" s="84"/>
      <c r="AA14" s="72"/>
      <c r="AB14" s="87"/>
      <c r="AC14" s="88"/>
      <c r="AD14" s="91"/>
      <c r="AE14" s="93"/>
      <c r="AF14" s="88"/>
    </row>
    <row r="15" spans="1:32" s="28" customFormat="1" ht="13.7" customHeight="1" x14ac:dyDescent="0.2">
      <c r="A15" s="27"/>
      <c r="B15" s="143" t="s">
        <v>15</v>
      </c>
      <c r="C15" s="103"/>
      <c r="D15" s="98" t="s">
        <v>16</v>
      </c>
      <c r="E15" s="103"/>
      <c r="F15" s="98" t="s">
        <v>17</v>
      </c>
      <c r="G15" s="103"/>
      <c r="H15" s="98" t="s">
        <v>18</v>
      </c>
      <c r="I15" s="103"/>
      <c r="J15" s="10"/>
      <c r="K15" s="10"/>
      <c r="L15" s="190"/>
      <c r="M15" s="191"/>
      <c r="N15" s="192"/>
      <c r="O15" s="10"/>
      <c r="P15" s="11"/>
      <c r="R15" s="59" t="s">
        <v>4</v>
      </c>
      <c r="S15" s="61"/>
      <c r="T15" s="63" t="s">
        <v>5</v>
      </c>
      <c r="U15" s="65"/>
      <c r="W15" s="30"/>
      <c r="X15" s="69"/>
      <c r="Y15" s="67" t="s">
        <v>55</v>
      </c>
      <c r="Z15" s="83" t="s">
        <v>56</v>
      </c>
      <c r="AA15" s="69"/>
      <c r="AB15" s="87" t="s">
        <v>34</v>
      </c>
      <c r="AC15" s="88" t="s">
        <v>32</v>
      </c>
      <c r="AD15" s="89"/>
      <c r="AE15" s="87" t="s">
        <v>42</v>
      </c>
      <c r="AF15" s="88" t="s">
        <v>43</v>
      </c>
    </row>
    <row r="16" spans="1:32" s="28" customFormat="1" ht="13.7" customHeight="1" x14ac:dyDescent="0.2">
      <c r="A16" s="27"/>
      <c r="B16" s="144"/>
      <c r="C16" s="104"/>
      <c r="D16" s="99"/>
      <c r="E16" s="104"/>
      <c r="F16" s="99"/>
      <c r="G16" s="104"/>
      <c r="H16" s="99"/>
      <c r="I16" s="104"/>
      <c r="J16" s="10"/>
      <c r="K16" s="10"/>
      <c r="L16" s="113"/>
      <c r="M16" s="193"/>
      <c r="N16" s="114"/>
      <c r="O16" s="10"/>
      <c r="P16" s="11"/>
      <c r="R16" s="60"/>
      <c r="S16" s="62"/>
      <c r="T16" s="64"/>
      <c r="U16" s="66"/>
      <c r="X16" s="70"/>
      <c r="Y16" s="68"/>
      <c r="Z16" s="84"/>
      <c r="AA16" s="70"/>
      <c r="AB16" s="87"/>
      <c r="AC16" s="88"/>
      <c r="AD16" s="89"/>
      <c r="AE16" s="87"/>
      <c r="AF16" s="88"/>
    </row>
    <row r="17" spans="1:32" s="28" customFormat="1" ht="15.6" customHeight="1" x14ac:dyDescent="0.2">
      <c r="A17" s="27"/>
      <c r="B17" s="105" t="s">
        <v>11</v>
      </c>
      <c r="C17" s="106"/>
      <c r="D17" s="154"/>
      <c r="E17" s="155"/>
      <c r="F17" s="31" t="s">
        <v>12</v>
      </c>
      <c r="G17" s="196" t="s">
        <v>78</v>
      </c>
      <c r="H17" s="196"/>
      <c r="I17" s="197"/>
      <c r="J17" s="10"/>
      <c r="K17" s="32"/>
      <c r="L17" s="33"/>
      <c r="M17" s="33"/>
      <c r="N17" s="33"/>
      <c r="O17" s="34"/>
      <c r="P17" s="11"/>
      <c r="R17" s="59" t="s">
        <v>2</v>
      </c>
      <c r="S17" s="61"/>
      <c r="T17" s="63" t="s">
        <v>3</v>
      </c>
      <c r="U17" s="65"/>
      <c r="X17" s="69"/>
      <c r="Y17" s="67" t="s">
        <v>21</v>
      </c>
      <c r="Z17" s="83" t="s">
        <v>22</v>
      </c>
      <c r="AA17" s="69"/>
      <c r="AB17" s="87" t="s">
        <v>35</v>
      </c>
      <c r="AC17" s="88" t="s">
        <v>36</v>
      </c>
      <c r="AD17" s="89"/>
      <c r="AE17" s="87" t="s">
        <v>44</v>
      </c>
      <c r="AF17" s="88" t="s">
        <v>45</v>
      </c>
    </row>
    <row r="18" spans="1:32" ht="13.9" customHeight="1" thickBot="1" x14ac:dyDescent="0.25">
      <c r="A18" s="1"/>
      <c r="B18" s="100"/>
      <c r="C18" s="101"/>
      <c r="D18" s="101"/>
      <c r="E18" s="101"/>
      <c r="F18" s="101"/>
      <c r="G18" s="101"/>
      <c r="H18" s="101"/>
      <c r="I18" s="102"/>
      <c r="J18" s="35"/>
      <c r="K18" s="36"/>
      <c r="L18" s="36"/>
      <c r="M18" s="36"/>
      <c r="N18" s="36"/>
      <c r="O18" s="36"/>
      <c r="P18" s="37"/>
      <c r="R18" s="198"/>
      <c r="S18" s="202"/>
      <c r="T18" s="203"/>
      <c r="U18" s="204"/>
      <c r="X18" s="70"/>
      <c r="Y18" s="68"/>
      <c r="Z18" s="84"/>
      <c r="AA18" s="70"/>
      <c r="AB18" s="87"/>
      <c r="AC18" s="88"/>
      <c r="AD18" s="89"/>
      <c r="AE18" s="87"/>
      <c r="AF18" s="88"/>
    </row>
    <row r="19" spans="1:32" ht="8.85" customHeight="1" thickTop="1" x14ac:dyDescent="0.2">
      <c r="A19" s="1"/>
      <c r="B19" s="184" t="s">
        <v>54</v>
      </c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6"/>
      <c r="W19" s="38"/>
      <c r="X19" s="69"/>
      <c r="Y19" s="67" t="s">
        <v>26</v>
      </c>
      <c r="Z19" s="83" t="s">
        <v>25</v>
      </c>
      <c r="AA19" s="69"/>
      <c r="AB19" s="87" t="s">
        <v>35</v>
      </c>
      <c r="AC19" s="88" t="s">
        <v>36</v>
      </c>
      <c r="AD19" s="89"/>
      <c r="AE19" s="87" t="s">
        <v>46</v>
      </c>
      <c r="AF19" s="88" t="s">
        <v>47</v>
      </c>
    </row>
    <row r="20" spans="1:32" ht="21.75" customHeight="1" x14ac:dyDescent="0.3">
      <c r="A20" s="1"/>
      <c r="B20" s="151" t="str">
        <f>CONCATENATE(H1,"   ",C2)</f>
        <v>ČSD   M152.0152</v>
      </c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3"/>
      <c r="S20" s="42" t="s">
        <v>70</v>
      </c>
      <c r="T20" s="43"/>
      <c r="W20" s="38"/>
      <c r="X20" s="70"/>
      <c r="Y20" s="68"/>
      <c r="Z20" s="84"/>
      <c r="AA20" s="70"/>
      <c r="AB20" s="87"/>
      <c r="AC20" s="88"/>
      <c r="AD20" s="89"/>
      <c r="AE20" s="87"/>
      <c r="AF20" s="88"/>
    </row>
    <row r="21" spans="1:32" ht="9.75" customHeight="1" x14ac:dyDescent="0.2">
      <c r="A21" s="1"/>
      <c r="B21" s="199" t="s">
        <v>72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1"/>
      <c r="S21" s="43"/>
      <c r="T21" s="43"/>
      <c r="W21" s="38"/>
      <c r="X21" s="38"/>
      <c r="Y21" s="38"/>
      <c r="Z21" s="38"/>
      <c r="AA21" s="39"/>
    </row>
    <row r="22" spans="1:32" ht="12.6" customHeight="1" x14ac:dyDescent="0.2">
      <c r="A22" s="1"/>
      <c r="B22" s="130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41"/>
      <c r="S22" s="43"/>
      <c r="T22" s="43"/>
      <c r="W22" s="38"/>
      <c r="X22" s="38"/>
      <c r="Y22" s="38"/>
      <c r="Z22" s="38"/>
      <c r="AA22" s="39"/>
    </row>
    <row r="23" spans="1:32" ht="13.15" customHeight="1" x14ac:dyDescent="0.2">
      <c r="A23" s="1"/>
      <c r="B23" s="130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41"/>
      <c r="S23" s="43"/>
      <c r="T23" s="43"/>
      <c r="W23" s="38"/>
      <c r="X23" s="38"/>
      <c r="Y23" s="38"/>
      <c r="Z23" s="38"/>
      <c r="AA23" s="39"/>
    </row>
    <row r="24" spans="1:32" ht="8.85" customHeight="1" x14ac:dyDescent="0.2">
      <c r="A24" s="1"/>
      <c r="B24" s="130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41"/>
      <c r="R24" s="38"/>
      <c r="S24" s="43"/>
      <c r="T24" s="43"/>
      <c r="U24" s="38"/>
    </row>
    <row r="25" spans="1:32" ht="81" customHeight="1" x14ac:dyDescent="0.2">
      <c r="A25" s="1"/>
      <c r="B25" s="130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41"/>
      <c r="R25" s="38"/>
      <c r="S25" s="43"/>
      <c r="T25" s="43"/>
      <c r="U25" s="180"/>
    </row>
    <row r="26" spans="1:32" ht="13.15" customHeight="1" x14ac:dyDescent="0.2">
      <c r="A26" s="1"/>
      <c r="B26" s="130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41"/>
      <c r="R26" s="38"/>
      <c r="S26" s="43"/>
      <c r="T26" s="43"/>
      <c r="U26" s="180"/>
    </row>
    <row r="27" spans="1:32" ht="13.15" customHeight="1" x14ac:dyDescent="0.2">
      <c r="A27" s="1"/>
      <c r="B27" s="130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41"/>
      <c r="R27" s="38"/>
      <c r="S27" s="180"/>
      <c r="T27" s="180"/>
      <c r="U27" s="180"/>
    </row>
    <row r="28" spans="1:32" ht="13.15" customHeight="1" x14ac:dyDescent="0.2">
      <c r="A28" s="1"/>
      <c r="B28" s="133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42"/>
      <c r="R28" s="38"/>
      <c r="S28" s="180"/>
      <c r="T28" s="180"/>
      <c r="U28" s="180"/>
    </row>
    <row r="29" spans="1:32" ht="9.75" customHeight="1" x14ac:dyDescent="0.2">
      <c r="A29" s="1"/>
      <c r="B29" s="136" t="s">
        <v>51</v>
      </c>
      <c r="C29" s="138"/>
      <c r="D29" s="138"/>
      <c r="E29" s="138"/>
      <c r="F29" s="138"/>
      <c r="G29" s="138"/>
      <c r="H29" s="138"/>
      <c r="I29" s="138"/>
      <c r="J29" s="138"/>
      <c r="K29" s="138"/>
      <c r="L29" s="137"/>
      <c r="M29" s="139" t="s">
        <v>74</v>
      </c>
      <c r="N29" s="138"/>
      <c r="O29" s="138"/>
      <c r="P29" s="140"/>
      <c r="R29" s="38"/>
      <c r="S29" s="38"/>
      <c r="T29" s="38"/>
      <c r="U29" s="38"/>
    </row>
    <row r="30" spans="1:32" ht="10.15" customHeight="1" x14ac:dyDescent="0.2">
      <c r="A30" s="1"/>
      <c r="B30" s="130"/>
      <c r="C30" s="131"/>
      <c r="D30" s="131"/>
      <c r="E30" s="131"/>
      <c r="F30" s="131"/>
      <c r="G30" s="131"/>
      <c r="H30" s="131"/>
      <c r="I30" s="131"/>
      <c r="J30" s="131"/>
      <c r="K30" s="131"/>
      <c r="L30" s="132"/>
      <c r="M30" s="174" t="s">
        <v>84</v>
      </c>
      <c r="N30" s="175"/>
      <c r="O30" s="175"/>
      <c r="P30" s="176"/>
      <c r="R30" s="38"/>
      <c r="S30" s="38"/>
      <c r="T30" s="38"/>
      <c r="U30" s="38"/>
    </row>
    <row r="31" spans="1:32" ht="10.15" customHeight="1" x14ac:dyDescent="0.2">
      <c r="A31" s="1"/>
      <c r="B31" s="133"/>
      <c r="C31" s="134"/>
      <c r="D31" s="134"/>
      <c r="E31" s="134"/>
      <c r="F31" s="134"/>
      <c r="G31" s="134"/>
      <c r="H31" s="134"/>
      <c r="I31" s="134"/>
      <c r="J31" s="134"/>
      <c r="K31" s="134"/>
      <c r="L31" s="135"/>
      <c r="M31" s="177"/>
      <c r="N31" s="178"/>
      <c r="O31" s="178"/>
      <c r="P31" s="179"/>
      <c r="R31" s="38"/>
      <c r="S31" s="38"/>
      <c r="T31" s="38"/>
      <c r="U31" s="38"/>
    </row>
    <row r="32" spans="1:32" ht="12.95" customHeight="1" x14ac:dyDescent="0.2">
      <c r="A32" s="1"/>
      <c r="B32" s="136" t="s">
        <v>73</v>
      </c>
      <c r="C32" s="137"/>
      <c r="D32" s="115" t="s">
        <v>88</v>
      </c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16"/>
      <c r="R32" s="38"/>
      <c r="S32" s="38"/>
      <c r="T32" s="38"/>
      <c r="U32" s="38"/>
    </row>
    <row r="33" spans="1:21" ht="12.95" customHeight="1" x14ac:dyDescent="0.2">
      <c r="A33" s="1"/>
      <c r="B33" s="156" t="s">
        <v>86</v>
      </c>
      <c r="C33" s="157"/>
      <c r="D33" s="109" t="s">
        <v>66</v>
      </c>
      <c r="E33" s="110"/>
      <c r="F33" s="117" t="s">
        <v>85</v>
      </c>
      <c r="G33" s="118"/>
      <c r="H33" s="109" t="s">
        <v>60</v>
      </c>
      <c r="I33" s="110"/>
      <c r="J33" s="117" t="s">
        <v>57</v>
      </c>
      <c r="K33" s="117"/>
      <c r="L33" s="118"/>
      <c r="M33" s="40" t="s">
        <v>63</v>
      </c>
      <c r="N33" s="119">
        <v>117</v>
      </c>
      <c r="O33" s="119"/>
      <c r="P33" s="120"/>
      <c r="R33" s="38"/>
      <c r="S33" s="38"/>
      <c r="T33" s="38"/>
      <c r="U33" s="38"/>
    </row>
    <row r="34" spans="1:21" ht="12.95" customHeight="1" x14ac:dyDescent="0.2">
      <c r="A34" s="1"/>
      <c r="B34" s="156"/>
      <c r="C34" s="157"/>
      <c r="D34" s="109" t="s">
        <v>0</v>
      </c>
      <c r="E34" s="110"/>
      <c r="F34" s="117" t="s">
        <v>77</v>
      </c>
      <c r="G34" s="118"/>
      <c r="H34" s="109" t="s">
        <v>58</v>
      </c>
      <c r="I34" s="110"/>
      <c r="J34" s="119" t="s">
        <v>61</v>
      </c>
      <c r="K34" s="119"/>
      <c r="L34" s="173"/>
      <c r="M34" s="40" t="s">
        <v>64</v>
      </c>
      <c r="N34" s="171">
        <v>100</v>
      </c>
      <c r="O34" s="171"/>
      <c r="P34" s="172"/>
      <c r="R34" s="38"/>
      <c r="S34" s="38"/>
      <c r="T34" s="38"/>
      <c r="U34" s="38"/>
    </row>
    <row r="35" spans="1:21" ht="12.95" customHeight="1" x14ac:dyDescent="0.2">
      <c r="A35" s="1"/>
      <c r="B35" s="156"/>
      <c r="C35" s="157"/>
      <c r="D35" s="109" t="s">
        <v>76</v>
      </c>
      <c r="E35" s="110"/>
      <c r="F35" s="117" t="s">
        <v>61</v>
      </c>
      <c r="G35" s="118"/>
      <c r="H35" s="109"/>
      <c r="I35" s="110"/>
      <c r="J35" s="166"/>
      <c r="K35" s="166"/>
      <c r="L35" s="167"/>
      <c r="M35" s="40" t="s">
        <v>65</v>
      </c>
      <c r="N35" s="168">
        <v>80</v>
      </c>
      <c r="O35" s="168"/>
      <c r="P35" s="169"/>
      <c r="R35" s="38"/>
      <c r="S35" s="38"/>
      <c r="T35" s="38"/>
      <c r="U35" s="38"/>
    </row>
    <row r="36" spans="1:21" ht="12.95" customHeight="1" thickBot="1" x14ac:dyDescent="0.25">
      <c r="A36" s="1"/>
      <c r="B36" s="158"/>
      <c r="C36" s="159"/>
      <c r="D36" s="107" t="s">
        <v>67</v>
      </c>
      <c r="E36" s="108"/>
      <c r="F36" s="124" t="s">
        <v>62</v>
      </c>
      <c r="G36" s="125"/>
      <c r="H36" s="107" t="s">
        <v>1</v>
      </c>
      <c r="I36" s="108"/>
      <c r="J36" s="124" t="s">
        <v>87</v>
      </c>
      <c r="K36" s="124"/>
      <c r="L36" s="125"/>
      <c r="M36" s="41" t="s">
        <v>68</v>
      </c>
      <c r="N36" s="124" t="s">
        <v>79</v>
      </c>
      <c r="O36" s="124"/>
      <c r="P36" s="170"/>
      <c r="R36" s="38"/>
      <c r="S36" s="38"/>
      <c r="T36" s="38"/>
      <c r="U36" s="38"/>
    </row>
    <row r="37" spans="1:21" ht="13.5" thickTop="1" x14ac:dyDescent="0.2"/>
  </sheetData>
  <mergeCells count="157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AA9:AA10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B18:I18"/>
    <mergeCell ref="D13:D14"/>
    <mergeCell ref="E13:E14"/>
    <mergeCell ref="B17:C17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2019-08-28T07:40:20Z</dcterms:modified>
</cp:coreProperties>
</file>